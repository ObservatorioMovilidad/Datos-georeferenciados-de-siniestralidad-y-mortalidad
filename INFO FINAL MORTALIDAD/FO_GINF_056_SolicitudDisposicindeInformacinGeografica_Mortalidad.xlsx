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01. ALCALDÍA DE MEDELLÍN\ACTIVIDADES TRABAJO\COMITÉ GEOGRÁFICO\09. MORTALIDAD\INFO FINAL MORTALIDAD\"/>
    </mc:Choice>
  </mc:AlternateContent>
  <xr:revisionPtr revIDLastSave="0" documentId="13_ncr:1_{FC3F78A6-F05A-40F8-A18F-4E8A903A6412}" xr6:coauthVersionLast="47" xr6:coauthVersionMax="47" xr10:uidLastSave="{00000000-0000-0000-0000-000000000000}"/>
  <bookViews>
    <workbookView xWindow="-108" yWindow="-108" windowWidth="23256" windowHeight="12456" tabRatio="792" xr2:uid="{00000000-000D-0000-FFFF-FFFF00000000}"/>
  </bookViews>
  <sheets>
    <sheet name="FSolicitud_GDB" sheetId="34" r:id="rId1"/>
    <sheet name="FSolicitud_Dato_Abierto" sheetId="35" r:id="rId2"/>
    <sheet name="FSolicitud_Servicio_Mapa" sheetId="36" r:id="rId3"/>
    <sheet name="xx_Listas" sheetId="25" state="hidden" r:id="rId4"/>
    <sheet name="Instructivo" sheetId="28" r:id="rId5"/>
    <sheet name="ListasInstructivo" sheetId="29" state="hidden" r:id="rId6"/>
    <sheet name="Categorias_MinTic" sheetId="27" r:id="rId7"/>
  </sheets>
  <definedNames>
    <definedName name="_xlnm.Print_Area" localSheetId="1">FSolicitud_Dato_Abierto!$A$8:$H$19</definedName>
    <definedName name="_xlnm.Print_Area" localSheetId="0">FSolicitud_GDB!$B$8:$J$18</definedName>
    <definedName name="_xlnm.Print_Area" localSheetId="2">FSolicitud_Servicio_Mapa!$A$8:$N$16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28" l="1"/>
  <c r="C21" i="28"/>
  <c r="D22" i="28"/>
  <c r="D21" i="28"/>
  <c r="D20" i="28"/>
  <c r="D19" i="28"/>
  <c r="D18" i="28"/>
  <c r="D16" i="28"/>
  <c r="D15" i="28"/>
  <c r="D14" i="28"/>
  <c r="D13" i="28"/>
  <c r="D12" i="28"/>
  <c r="D11" i="28"/>
  <c r="D10" i="28"/>
  <c r="C10" i="28"/>
  <c r="C20" i="28"/>
  <c r="C19" i="28"/>
  <c r="C18" i="28"/>
  <c r="C17" i="28"/>
  <c r="C16" i="28"/>
  <c r="C15" i="28"/>
  <c r="C14" i="28"/>
  <c r="C13" i="28"/>
  <c r="C12" i="28"/>
  <c r="C11" i="28"/>
</calcChain>
</file>

<file path=xl/sharedStrings.xml><?xml version="1.0" encoding="utf-8"?>
<sst xmlns="http://schemas.openxmlformats.org/spreadsheetml/2006/main" count="420" uniqueCount="270">
  <si>
    <t>DEPARTAMENTO ADMINISTRATIVO DE PLANEACIÓN</t>
  </si>
  <si>
    <t xml:space="preserve">                                     SUBDIRECCIÓN DE PROSPECTIVA, INFORMACIÓN Y EVALUACIÓN ESTRATÉGICA , UNIDAD DE PLANEACIÓN DE LA INFORMACIÓN</t>
  </si>
  <si>
    <t>No</t>
  </si>
  <si>
    <t xml:space="preserve">Nombre
Capa Geográfica o Tabla </t>
  </si>
  <si>
    <t>GDB  Corporativa</t>
  </si>
  <si>
    <t>Dato Abierto</t>
  </si>
  <si>
    <t>Servicio de Mapa</t>
  </si>
  <si>
    <t>Observaciones</t>
  </si>
  <si>
    <t>Nombre</t>
  </si>
  <si>
    <t>Cargo</t>
  </si>
  <si>
    <t>Dependencia</t>
  </si>
  <si>
    <t xml:space="preserve">Correo de  Contacto </t>
  </si>
  <si>
    <t>Seleccione</t>
  </si>
  <si>
    <t xml:space="preserve">Información Geográfica </t>
  </si>
  <si>
    <t>Tipo de Solicitud</t>
  </si>
  <si>
    <t>Base de Datos 
en la que se desea cargar la información</t>
  </si>
  <si>
    <t xml:space="preserve">Nombre 
Capa Geográfica o Tabla </t>
  </si>
  <si>
    <t>Justificación
En el caso en el que el tipo de solicitud sea Eliminar  justifique el motivo.</t>
  </si>
  <si>
    <t xml:space="preserve">Nombre </t>
  </si>
  <si>
    <t>Esquema</t>
  </si>
  <si>
    <t xml:space="preserve">Dataset </t>
  </si>
  <si>
    <t xml:space="preserve">Observaciones </t>
  </si>
  <si>
    <t xml:space="preserve">Temática </t>
  </si>
  <si>
    <t xml:space="preserve">Base de Datos </t>
  </si>
  <si>
    <t>Información del Servicio de Mapa</t>
  </si>
  <si>
    <t>Tipo de Servicio</t>
  </si>
  <si>
    <r>
      <t xml:space="preserve">Usuarios Servicio de Mapa 
</t>
    </r>
    <r>
      <rPr>
        <sz val="12"/>
        <color theme="0"/>
        <rFont val="Calibri"/>
        <family val="2"/>
        <scheme val="minor"/>
      </rPr>
      <t xml:space="preserve">(Aplica cuando se solicita la configuración 
de un Servicio de Mapa Privado) </t>
    </r>
  </si>
  <si>
    <r>
      <t xml:space="preserve">Tipo de Solicitud
</t>
    </r>
    <r>
      <rPr>
        <sz val="10"/>
        <color theme="0"/>
        <rFont val="Calibri"/>
        <family val="2"/>
        <scheme val="minor"/>
      </rPr>
      <t>(Crear o modificar)</t>
    </r>
  </si>
  <si>
    <t>Justificación 
En el caso en el que el Tipo de Solicitud sea Modificar justifique el motivo.</t>
  </si>
  <si>
    <t xml:space="preserve">Nombre
Servicio de Mapa </t>
  </si>
  <si>
    <t>Temática</t>
  </si>
  <si>
    <t xml:space="preserve">Descripción </t>
  </si>
  <si>
    <t xml:space="preserve">Palabras Claves </t>
  </si>
  <si>
    <r>
      <t xml:space="preserve">Documento de Mapa 
</t>
    </r>
    <r>
      <rPr>
        <sz val="10"/>
        <color theme="0"/>
        <rFont val="Calibri"/>
        <family val="2"/>
        <scheme val="minor"/>
      </rPr>
      <t xml:space="preserve">(.mxd, aprx)  </t>
    </r>
  </si>
  <si>
    <r>
      <t xml:space="preserve">Capas Geográficas 
Documento de Mapa </t>
    </r>
    <r>
      <rPr>
        <sz val="12"/>
        <color theme="0"/>
        <rFont val="Calibri"/>
        <family val="2"/>
        <scheme val="minor"/>
      </rPr>
      <t>(.mxd, aprx)</t>
    </r>
  </si>
  <si>
    <r>
      <t xml:space="preserve">Tipo de Servicio 
</t>
    </r>
    <r>
      <rPr>
        <sz val="10"/>
        <color theme="0"/>
        <rFont val="Calibri"/>
        <family val="2"/>
        <scheme val="minor"/>
      </rPr>
      <t>(Público, Privado)</t>
    </r>
  </si>
  <si>
    <r>
      <t xml:space="preserve">Acceso y Limitaciones de Uso 
</t>
    </r>
    <r>
      <rPr>
        <sz val="10"/>
        <color theme="0"/>
        <rFont val="Calibri"/>
        <family val="2"/>
        <scheme val="minor"/>
      </rPr>
      <t xml:space="preserve">(Aplica cuando el Tipo de Servicio es Privado) </t>
    </r>
  </si>
  <si>
    <t xml:space="preserve">Cédula </t>
  </si>
  <si>
    <t>Lider</t>
  </si>
  <si>
    <t>Seleccione1</t>
  </si>
  <si>
    <t>Seleccione2</t>
  </si>
  <si>
    <t>Tipo de Solicitud 1</t>
  </si>
  <si>
    <t>Tipo de Solicitud 2</t>
  </si>
  <si>
    <t>Tipo de Solicitud 3</t>
  </si>
  <si>
    <t xml:space="preserve">Tipo de Servicio </t>
  </si>
  <si>
    <t>Agencia para la Gestión del Paisaje, el Patrimonio y APP</t>
  </si>
  <si>
    <t>Líder de Proyecto</t>
  </si>
  <si>
    <t>Si</t>
  </si>
  <si>
    <t>Cargar</t>
  </si>
  <si>
    <t>Disponer</t>
  </si>
  <si>
    <t>Crear</t>
  </si>
  <si>
    <t>Público</t>
  </si>
  <si>
    <t>Área Metropolitana del Valle de Aburra - AMVA</t>
  </si>
  <si>
    <t xml:space="preserve">Líder de Programa </t>
  </si>
  <si>
    <t>Modificar</t>
  </si>
  <si>
    <t>Privado</t>
  </si>
  <si>
    <t xml:space="preserve">Departamento Administrativo de Gestión del Riesgo de Desastres </t>
  </si>
  <si>
    <t>N.A</t>
  </si>
  <si>
    <t xml:space="preserve">Eliminar </t>
  </si>
  <si>
    <t>Departamento Administrativo de Planeación</t>
  </si>
  <si>
    <t>Secretaría de Comunicaciones</t>
  </si>
  <si>
    <t>Secretaría de Cultura Ciudadana</t>
  </si>
  <si>
    <t>Secretaría de Educación</t>
  </si>
  <si>
    <t>Secretaría de Evaluación y Control</t>
  </si>
  <si>
    <t>Secretaría de Gestión Humana  y servicio a la ciudadanía</t>
  </si>
  <si>
    <t>Secretaría de Gestión y Control Territorial</t>
  </si>
  <si>
    <t>Secretaría de Gobierno Y Gestión del Gabinete</t>
  </si>
  <si>
    <t>Secretaría de Hacienda</t>
  </si>
  <si>
    <t>Secretaría de Inclusión Social, Familia y Dererchos Humanos</t>
  </si>
  <si>
    <t>Secretaría de Infraestructura Física</t>
  </si>
  <si>
    <t>Secretaría de Innovación Digital</t>
  </si>
  <si>
    <t>Secretaría de Juventud</t>
  </si>
  <si>
    <t>Secretaría de la No-Violencia</t>
  </si>
  <si>
    <t>Secretaría de Medio Ambiente</t>
  </si>
  <si>
    <t>Secretaría de Movilidad</t>
  </si>
  <si>
    <t>Secretaría de Mujeres</t>
  </si>
  <si>
    <t>Secretaría de Participación Ciudadana</t>
  </si>
  <si>
    <t>Secretaría de Salud</t>
  </si>
  <si>
    <t>Secretaría de Seguridad y Convivencia</t>
  </si>
  <si>
    <t>Secretaría de Suministros y Servicios</t>
  </si>
  <si>
    <t>Secretaría Desarrollo Económico</t>
  </si>
  <si>
    <t>Secretaría General</t>
  </si>
  <si>
    <t>Secretaría Privada</t>
  </si>
  <si>
    <t>Entes descentralizados /Gerencias</t>
  </si>
  <si>
    <t>SUBDIRECCIÓN DE PROSPECTIVA, INFORMACIÓN Y EVALUACIÓN ESTRATÉGICA 
UNIDAD DE PLANEACIÓN DE LA INFORMACIÓN</t>
  </si>
  <si>
    <t>Tipo de Sección
(Haga clic  sobre la celda D6 para activar el menú desplegable y mostrar las instrucciones de diligenciamiento)</t>
  </si>
  <si>
    <t>Información_General</t>
  </si>
  <si>
    <t>A continuación se describe la manera como deben ser diligenciados los campos de los formatos, de acuerdo al tipo de sección seleccionada para ser diligenciada.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</si>
  <si>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</si>
  <si>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</si>
  <si>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</si>
  <si>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</si>
  <si>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</si>
  <si>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</si>
  <si>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</si>
  <si>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</si>
  <si>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</si>
  <si>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</si>
  <si>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</si>
  <si>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</si>
  <si>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</si>
  <si>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</si>
  <si>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</si>
  <si>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</si>
  <si>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</si>
  <si>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</si>
  <si>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</si>
  <si>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</si>
  <si>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</si>
  <si>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</si>
  <si>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</si>
  <si>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</si>
  <si>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</si>
  <si>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</si>
  <si>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</si>
  <si>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 xml:space="preserve">Fecha 
de elaboración 
</t>
  </si>
  <si>
    <t>N/A</t>
  </si>
  <si>
    <t>Número consecutivo para el conjuntos de datos (capa geográfica o tabla).</t>
  </si>
  <si>
    <t>Escriba la fecha de elaboración de la solicitud (dd/mm/año).</t>
  </si>
  <si>
    <t xml:space="preserve">Escriba el nombre de la capa geográfica o tabla que hace parte de la solicitud.  </t>
  </si>
  <si>
    <t>Si desea cargar, modificar o eliminar información de la GDB Corporativa seleccione Si  y diligencie el formato de la pestaña FSolicitud_GDB, en caso contrario seleccione No.</t>
  </si>
  <si>
    <t>Si desea disponer un conjunto de datos como un Dato Abierto seleccione Si y diligencie el formato de la pestaña FSolicitud_Dato_Abierto, en caso contrario seleccione No.</t>
  </si>
  <si>
    <t>Si desea crear o modificar un Servicio de Mapa seleccione Si  y  diligencie el formato de la pestaña FSolicitud_Servicio_Mapa, en caso contrario seleccione No.</t>
  </si>
  <si>
    <t>Escriba las observaciones que considere son necesarias para esta solicitud.</t>
  </si>
  <si>
    <t xml:space="preserve">Seleccione de la lista desplegable, el cargo del solicitante. </t>
  </si>
  <si>
    <t xml:space="preserve">Seleccione de la lista desplegable, el nombre de la dependencia responsable de la solicitud. </t>
  </si>
  <si>
    <t>Escriba el correo electrónico del líder (programa o proyecto) responsable de la solicitud.</t>
  </si>
  <si>
    <t>FSolicitud_GDB</t>
  </si>
  <si>
    <t>Nombre 
Capa Geográfica o Tabla</t>
  </si>
  <si>
    <t xml:space="preserve">Formato de entrega
</t>
  </si>
  <si>
    <t xml:space="preserve">Tipo de Solicitud 
</t>
  </si>
  <si>
    <t>En el caso en el que el tipo de solicitud 
sea Eliminar  justifique el motivo.</t>
  </si>
  <si>
    <t>Indique los motivos  que sustentan la eliminación de la información de la GDB Corporativa.</t>
  </si>
  <si>
    <t>Escriba el Esquema en dónde se desea cargar el conjunto de datos o donde se encuentra almacenado el conjunto de datos.</t>
  </si>
  <si>
    <t>Escriba el DataSet dónde se desea cargar el conjunto de datos o donde se encuentra almacenado el conjunto de datos.</t>
  </si>
  <si>
    <t>Escriba las observaciones que considere son necesarias para este solicitud.</t>
  </si>
  <si>
    <t>FSolicitud_Dato_Abierto</t>
  </si>
  <si>
    <t xml:space="preserve">Seleccione de la lista desplegable la temática (Categorías de Min Tic) a la cual pertenece el conjunto de datos. En la hoja Categorias_MinTic encontrará una descripción de cada una de ellas. </t>
  </si>
  <si>
    <t>Escriba la Base de Datos donde se encuentra almacenado el conjunto de datos.</t>
  </si>
  <si>
    <t>Escriba el Esquema en dónde se encuentra almacenado el conjunto de datos.</t>
  </si>
  <si>
    <t>Escriba el DataSet en dónde se encuentra almacenado el conjunto de datos.</t>
  </si>
  <si>
    <t>FSolicitud_Servicio_Mapa</t>
  </si>
  <si>
    <t xml:space="preserve">Justificación </t>
  </si>
  <si>
    <t xml:space="preserve">Seleccione de la lista desplegable el tipo de solicitud a realizar, crear o modificar. </t>
  </si>
  <si>
    <t>En el caso en el que el Tipo de Solicitud sea Modificar justifique el motivo.</t>
  </si>
  <si>
    <t>Escriba una descripción detallada del conjunto de datos (Escala,  área geográfica, características temáticas y técnicas).</t>
  </si>
  <si>
    <t>Escriba las palabras claves a partir de las cuales se puede realizar una búsqueda del conjunto de datos.</t>
  </si>
  <si>
    <t>Escriba el nombre de los conjuntos de datos que hacen parte del Documento de Mapa (.mxd, aprx).</t>
  </si>
  <si>
    <t>Seleccione de la lista desplegable el tipo de servicio requerido (Público o Privado).</t>
  </si>
  <si>
    <t>Secciones</t>
  </si>
  <si>
    <t>Tema</t>
  </si>
  <si>
    <t>Código
Tema</t>
  </si>
  <si>
    <t xml:space="preserve">Definicion </t>
  </si>
  <si>
    <t>Alias</t>
  </si>
  <si>
    <t>Agricultura y Desarrollo Rural</t>
  </si>
  <si>
    <t>01</t>
  </si>
  <si>
    <t>01-Agricultura y Desarrollo Rural</t>
  </si>
  <si>
    <t xml:space="preserve">Información asociada con el sector agropecuario, pesquero y de desarrollo rural, tanto desde el enfoque de población vinculada a este sector, como de la producción y/o caracterización de los suelos sobre los que se desarrolla la actividad. 
</t>
  </si>
  <si>
    <t>Agricultura</t>
  </si>
  <si>
    <t>Ambiente y Desarrollo Sostenible</t>
  </si>
  <si>
    <t>02</t>
  </si>
  <si>
    <t>02-Ambiente y Desarrollo Sostenible</t>
  </si>
  <si>
    <t>Información asociada con la gestión y estado del
ambiente, de los recursos naturales renovables, y su
aprovechamiento sostenible; la gestión del riesgo y
el ordenamiento ambiental del territorio.</t>
  </si>
  <si>
    <t xml:space="preserve">Ambiente </t>
  </si>
  <si>
    <t>Ciencia Tecnología e Innovación</t>
  </si>
  <si>
    <t>03</t>
  </si>
  <si>
    <t>03-Ciencia Tecnología e Innovación</t>
  </si>
  <si>
    <t>Información asociada con la producción, promoción, difusión y aplicación de los conocimientos científicos y técnicos en los campos de la ciencia, tecnología y la innovación.</t>
  </si>
  <si>
    <t>Comercio Industria y Turismo</t>
  </si>
  <si>
    <t>04</t>
  </si>
  <si>
    <t>04-Comercio, Industria y Turismo</t>
  </si>
  <si>
    <t>Información asociada con las actividades empresariales productoras de bienes, servicios y tecnología, así como la gestión turística del municipio. Incluye   datos de las importaciones y exportaciones de productos específicos.</t>
  </si>
  <si>
    <t>Cultura</t>
  </si>
  <si>
    <t>05</t>
  </si>
  <si>
    <t>05-Cultura</t>
  </si>
  <si>
    <t>Información asociada con la promoción, defensa, divulgación de bienes y servicios culturales, la memoria social y el patrimonio cultural.</t>
  </si>
  <si>
    <t>Deporte y Recreación</t>
  </si>
  <si>
    <t>06</t>
  </si>
  <si>
    <t>06-Deporte y Recreación</t>
  </si>
  <si>
    <t>Información asociada con la promoción y ejecución de proyectos en materia de deporte, recreación, aprovechamiento del tiempo libre, actividad física; e infraestructura.</t>
  </si>
  <si>
    <t>Economía y Finanzas</t>
  </si>
  <si>
    <t>07</t>
  </si>
  <si>
    <t>07-Economía y Finanzas</t>
  </si>
  <si>
    <t>Información asociada a la actividad económica, financiera y de inversiones, en el marco del fortalecimiento empresarial.</t>
  </si>
  <si>
    <t>Educación</t>
  </si>
  <si>
    <t>08</t>
  </si>
  <si>
    <t>08-Educación</t>
  </si>
  <si>
    <t xml:space="preserve">Información asociada con el acceso, calidad y, cobertura de la educación. Así como datos del personal vinculado al sector y la infraestructura educativa formal y no formal. </t>
  </si>
  <si>
    <t>Estadísticas Nacionales</t>
  </si>
  <si>
    <t>09</t>
  </si>
  <si>
    <t>09-Estadísticas Nacionales</t>
  </si>
  <si>
    <t>Información sobre estadísticas demográficas, sociales y económicas .</t>
  </si>
  <si>
    <t>Función Pública</t>
  </si>
  <si>
    <t>10-Función Pública</t>
  </si>
  <si>
    <t>Información asociada con la gestión de la entidad y el desempeño de los servidores públicos.  Así mismo se incluyen datos de ubicación de sitios de atención al ciudadano.</t>
  </si>
  <si>
    <t>Gastos Gubernamentales</t>
  </si>
  <si>
    <t>11-Gastos Gubernamentales</t>
  </si>
  <si>
    <t>Información asociada con los bienes y servicios adquiridos por la administración, tanto  para consumo como para inversiones.</t>
  </si>
  <si>
    <t>Hacienda y Crédito Público</t>
  </si>
  <si>
    <t>12-Hacienda y Crédito Público</t>
  </si>
  <si>
    <t xml:space="preserve">Información asociada con el seguimiento financiero del gastos e ingresos </t>
  </si>
  <si>
    <t>Inclusión Social y Reconciliación</t>
  </si>
  <si>
    <t>13-Inclusión Social y Reconciliación</t>
  </si>
  <si>
    <t xml:space="preserve">Información asociada con: superación de la pobreza y la pobreza extrema, atención a grupos vulnerables, atención integral de la infancia, infancia y adolescencia, equidad de género, desarrollo territorial, atención y reparación a víctimas del conflicto armado y situación y posición de la mujer en el municipio. </t>
  </si>
  <si>
    <t>Justicia y Derecho</t>
  </si>
  <si>
    <t>14-Justicia y Derecho</t>
  </si>
  <si>
    <t>Información asociada con el ordenamiento jurídico; defensa y seguridad jurídica; acceso a la justicia; asuntos carcelarios y penitenciarios, y promoción de la cultura de la legalidad.</t>
  </si>
  <si>
    <t>Mapa de Referencia</t>
  </si>
  <si>
    <t>15-Mapas Nacionales</t>
  </si>
  <si>
    <t>Información que integra las capas que conforman el mapa de referencia de la Alcaldía de Medellín.</t>
  </si>
  <si>
    <t>Minas y Energías</t>
  </si>
  <si>
    <t>16-Minas y Energías</t>
  </si>
  <si>
    <t>Información de, r asociada  con  el aprovechamiento, desarrollo, explotación, abastecimiento y exportación de los recursos mineros y energéticos.</t>
  </si>
  <si>
    <t>Ordenamiento Territorial</t>
  </si>
  <si>
    <t>17-Ordenamiento Territorial</t>
  </si>
  <si>
    <t xml:space="preserve">Información asociada con el uso, aprovechamiento y ocupación del territorio, definidos de acuerdo con los   instrumentos de gestión y planificación del POT. </t>
  </si>
  <si>
    <t>Organismos de Control</t>
  </si>
  <si>
    <t>18-Organismos de Control</t>
  </si>
  <si>
    <t>Información asociada con las funciones de control disciplinario, defensoría del pueblo y control fiscal sobre las entidades públicas.</t>
  </si>
  <si>
    <t>Participación Ciudadana</t>
  </si>
  <si>
    <t>19-Participación Ciudadana</t>
  </si>
  <si>
    <t xml:space="preserve">Información asociada con los procesos de participación pública, en apoyo a la toma de decisiones; y los planes, programas y proyectos de las diferentes dependencias. Incluye información de organizaciones sociales y comunales. </t>
  </si>
  <si>
    <t>Presupuestos Gubernamentales</t>
  </si>
  <si>
    <t>20-Presupuestos Gubernamentales</t>
  </si>
  <si>
    <t>Información asociada con el seguimiento al cumplimiento de los presupuestos municipales, según criterios de objeto de gasto, renglones económicos, funciones programas, y actividades.</t>
  </si>
  <si>
    <t>Resultados Electorales</t>
  </si>
  <si>
    <t>21-Resultados Electorales</t>
  </si>
  <si>
    <t>Información asociada con los resultados electorales y los datos de participación en los diferentes tipos de elecciones.</t>
  </si>
  <si>
    <t>Salud y Protección Social</t>
  </si>
  <si>
    <t>22-Salud y Protección Social</t>
  </si>
  <si>
    <t xml:space="preserve">Información asociada con la calidad, oportunidad, accesibilidad a los servicios de salud, según características poblaciones y régimen de afiliación. Incluye datos sobre enfermedades, atención sanitaria, servicios de salud y datos de medición de determinantes ambientales. </t>
  </si>
  <si>
    <t>Seguridad y Defensa</t>
  </si>
  <si>
    <t>23-Seguridad y Defensa</t>
  </si>
  <si>
    <t>Información asociada con la mejora de la seguridad, la protección de los derechos de los ciudadanos y la disminución de la delincuencia. Contiene además, información sobre la infraestructura existente en la ciudad.</t>
  </si>
  <si>
    <t>Trabajo</t>
  </si>
  <si>
    <t>24-Trabajo</t>
  </si>
  <si>
    <t xml:space="preserve">Información asociada con el acceso al trabajo, la protección social y seguridad social, atención al adulto mayor, riesgos laborales y subsidios familiares.
</t>
  </si>
  <si>
    <t>Transporte</t>
  </si>
  <si>
    <t>25-Transporte</t>
  </si>
  <si>
    <t xml:space="preserve">Información asociada con el desarrollo y mejoramiento del transporte, tránsito, infraestructura, seguridad vial y señalización.
</t>
  </si>
  <si>
    <t>Vivienda Ciudad y Territorio</t>
  </si>
  <si>
    <t>26-Vivienda, Ciudad y Territorio</t>
  </si>
  <si>
    <t xml:space="preserve">Información asociada con la mejora de la calidad de vida de la ciudadanía, promoviendo el desarrollo territorial y urbano (avalúos, licencias) de vivienda (mejoramiento integral de barrios, vivienda sostenible, espacio público y equipamiento), agua potable, saneamiento básico, energía eléctrica, gas, tecnologías de la información y la comunicación y la gestión integral de residuos, mediante la financiación y desarrollo de las políticas públicas. </t>
  </si>
  <si>
    <t>Cód. FO-GINF-056</t>
  </si>
  <si>
    <t xml:space="preserve">Escriba el nombre del líder que realiza la solicitud. </t>
  </si>
  <si>
    <r>
      <t xml:space="preserve">Cédula
</t>
    </r>
    <r>
      <rPr>
        <sz val="10"/>
        <color theme="0"/>
        <rFont val="Calibri"/>
        <family val="2"/>
        <scheme val="minor"/>
      </rPr>
      <t xml:space="preserve">(Aplica cuando el Tipo de Servicio es Privado) </t>
    </r>
  </si>
  <si>
    <t>Seleccione de la lista desplegable el tipo de solicitud a realizar: cargar, modificar o eliminar.</t>
  </si>
  <si>
    <t>Indique las restricciones para el acceso y uso del Servicio, cuando se solicite su configuración como un  Servicio Privado.</t>
  </si>
  <si>
    <t>Indique el número de cédula del usuario que tendrá acceso al Servicio Privado.</t>
  </si>
  <si>
    <r>
      <t>Información Geográfica</t>
    </r>
    <r>
      <rPr>
        <sz val="10"/>
        <color theme="0"/>
        <rFont val="Calibri"/>
        <family val="2"/>
        <scheme val="minor"/>
      </rPr>
      <t/>
    </r>
  </si>
  <si>
    <t xml:space="preserve">Escriba el formato de entrega de la información: GDB, shape, .xls u otro formato.
</t>
  </si>
  <si>
    <t>Escriba el nombre del Servicio de Mapa.</t>
  </si>
  <si>
    <t>Escriba el nombre del Documento de Mapa (.mxd, .aprx).</t>
  </si>
  <si>
    <r>
      <t xml:space="preserve">Acceso y Limitaciones de Uso 
</t>
    </r>
    <r>
      <rPr>
        <sz val="10"/>
        <color theme="0"/>
        <rFont val="Calibri"/>
        <family val="2"/>
        <scheme val="minor"/>
      </rPr>
      <t xml:space="preserve">(Aplica cuando el 
Tipo de Servicio es Privado) </t>
    </r>
  </si>
  <si>
    <t>Nombre de la capa geográfica o tabla.</t>
  </si>
  <si>
    <t xml:space="preserve">Capas Geográficas 
Documento de Mapa 
</t>
  </si>
  <si>
    <r>
      <t xml:space="preserve">Formato de entrega 
</t>
    </r>
    <r>
      <rPr>
        <sz val="12"/>
        <color theme="0"/>
        <rFont val="Calibri"/>
        <family val="2"/>
        <scheme val="minor"/>
      </rPr>
      <t xml:space="preserve">(GDB, shape, .xls u otro formato específico) </t>
    </r>
  </si>
  <si>
    <r>
      <t xml:space="preserve">Tipo de Solicitud 
</t>
    </r>
    <r>
      <rPr>
        <sz val="12"/>
        <color theme="0"/>
        <rFont val="Calibri"/>
        <family val="2"/>
        <scheme val="minor"/>
      </rPr>
      <t>(Cargar, Modificar, Eliminar)</t>
    </r>
  </si>
  <si>
    <t xml:space="preserve">                                     SUBDIRECCIÓN DE PROSPECTIVA, INFORMACIÓN Y EVALUACIÓN ESTRATÉGICA, UNIDAD DE PLANEACIÓN DE LA INFORMACIÓN</t>
  </si>
  <si>
    <t>FO-GINF SOLICITUD DE DISPOSICIÓN DE INFORMACIÓN GEOGRÁFICA</t>
  </si>
  <si>
    <t>Versión. 3</t>
  </si>
  <si>
    <t>GDB</t>
  </si>
  <si>
    <t>mortalidad</t>
  </si>
  <si>
    <t>accidentes_transito</t>
  </si>
  <si>
    <t>produccion14_atlas_movilidad</t>
  </si>
  <si>
    <t>atlas.movilidad.movilidad</t>
  </si>
  <si>
    <t>atlas</t>
  </si>
  <si>
    <t>No se debe eliminar de la base de datos corporativa pero se debe modificar del servicio que consume MapGIS (Ocultar). Los datos que son de 2014 a 2018 seran datos historicos y se debe ocultar lo que está de 2019 a 2021 (cuando se monte la capa de siniestralidad 2019 a 2024), esto debido a que la Secretaría de Movilidad ha realizado un proceso progresivo de depuración y ajuste de la información con el fin de mejorar la calidad de los datos y garantizar su confiabilidad para análisis posteriores, por esta razón la nueva capa solo será de mortalidad de 2019 a 2024. Próximamente se montará el caso para siniestralidad (heridos y solo daños) para los años de 2019 a 2024.</t>
  </si>
  <si>
    <t>En MapGIS necesitamos que quede acá y que las capas de 2014 a 2018 queden como históricas y las de 2019 a 2021 se oculten cuando se envíe tambien la nueva capa de siniestralidad 2019 a 2024</t>
  </si>
  <si>
    <t>Cambia la información de las capas anteriores que se tienen, debido a que los atributos son diferentes. Esta nueva capa es información de mortalidad 2019 a 2024. Necesitamos que esta quede como nueva capa.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</si>
</sst>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00A1FF"/>
      <name val="Gotham Rounded Medium"/>
      <family val="3"/>
    </font>
    <font>
      <b/>
      <sz val="12"/>
      <color rgb="FF003E65"/>
      <name val="Gotham Rounded Book"/>
      <family val="3"/>
    </font>
    <font>
      <sz val="11"/>
      <color theme="1"/>
      <name val="Gotham Rounded Book"/>
      <family val="3"/>
    </font>
    <font>
      <b/>
      <sz val="12"/>
      <color rgb="FF003E65"/>
      <name val="Calibri"/>
      <family val="2"/>
      <scheme val="minor"/>
    </font>
    <font>
      <sz val="10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2"/>
      <color rgb="FF40404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libri Light"/>
      <family val="2"/>
      <scheme val="maj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9999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AED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8497B0"/>
      </right>
      <top/>
      <bottom/>
      <diagonal/>
    </border>
    <border>
      <left style="thin">
        <color rgb="FF8497B0"/>
      </left>
      <right style="thin">
        <color rgb="FF8497B0"/>
      </right>
      <top/>
      <bottom/>
      <diagonal/>
    </border>
    <border>
      <left/>
      <right style="thin">
        <color rgb="FF8497B0"/>
      </right>
      <top/>
      <bottom/>
      <diagonal/>
    </border>
    <border>
      <left style="thin">
        <color rgb="FF8497B0"/>
      </left>
      <right style="thin">
        <color rgb="FF8497B0"/>
      </right>
      <top/>
      <bottom style="thin">
        <color rgb="FF8497B0"/>
      </bottom>
      <diagonal/>
    </border>
    <border>
      <left style="thin">
        <color rgb="FF8497B0"/>
      </left>
      <right style="thin">
        <color rgb="FF8497B0"/>
      </right>
      <top style="thin">
        <color rgb="FF8497B0"/>
      </top>
      <bottom/>
      <diagonal/>
    </border>
    <border>
      <left style="thin">
        <color rgb="FF8497B0"/>
      </left>
      <right style="thin">
        <color rgb="FF8497B0"/>
      </right>
      <top style="thin">
        <color rgb="FF8497B0"/>
      </top>
      <bottom style="thin">
        <color rgb="FF8497B0"/>
      </bottom>
      <diagonal/>
    </border>
    <border>
      <left/>
      <right style="thin">
        <color rgb="FF8497B0"/>
      </right>
      <top style="thin">
        <color rgb="FF8497B0"/>
      </top>
      <bottom style="thin">
        <color rgb="FF8497B0"/>
      </bottom>
      <diagonal/>
    </border>
    <border>
      <left/>
      <right/>
      <top/>
      <bottom style="thin">
        <color indexed="64"/>
      </bottom>
      <diagonal/>
    </border>
    <border>
      <left style="thin">
        <color rgb="FF8EA2A9"/>
      </left>
      <right style="thin">
        <color rgb="FF8EA2A9"/>
      </right>
      <top style="thin">
        <color rgb="FF8EA2A9"/>
      </top>
      <bottom style="thin">
        <color rgb="FF8EA2A9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</borders>
  <cellStyleXfs count="55">
    <xf numFmtId="0" fontId="0" fillId="0" borderId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7" fillId="0" borderId="6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7" applyNumberFormat="0" applyAlignment="0" applyProtection="0"/>
    <xf numFmtId="0" fontId="12" fillId="8" borderId="8" applyNumberFormat="0" applyAlignment="0" applyProtection="0"/>
    <xf numFmtId="0" fontId="13" fillId="8" borderId="7" applyNumberFormat="0" applyAlignment="0" applyProtection="0"/>
    <xf numFmtId="0" fontId="14" fillId="0" borderId="9" applyNumberFormat="0" applyFill="0" applyAlignment="0" applyProtection="0"/>
    <xf numFmtId="0" fontId="15" fillId="9" borderId="10" applyNumberFormat="0" applyAlignment="0" applyProtection="0"/>
    <xf numFmtId="0" fontId="2" fillId="0" borderId="0" applyNumberFormat="0" applyFill="0" applyBorder="0" applyAlignment="0" applyProtection="0"/>
    <xf numFmtId="0" fontId="3" fillId="10" borderId="11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2" applyNumberFormat="0" applyFill="0" applyAlignment="0" applyProtection="0"/>
    <xf numFmtId="0" fontId="17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17" fillId="34" borderId="0" applyNumberFormat="0" applyBorder="0" applyAlignment="0" applyProtection="0"/>
    <xf numFmtId="0" fontId="20" fillId="38" borderId="22">
      <alignment horizontal="center" vertical="center"/>
    </xf>
    <xf numFmtId="0" fontId="21" fillId="37" borderId="23">
      <alignment horizontal="center" vertical="center" wrapText="1"/>
    </xf>
    <xf numFmtId="0" fontId="22" fillId="0" borderId="23">
      <alignment vertical="center" wrapText="1"/>
    </xf>
    <xf numFmtId="0" fontId="23" fillId="37" borderId="23">
      <alignment horizontal="center" vertical="center"/>
    </xf>
    <xf numFmtId="0" fontId="24" fillId="0" borderId="0"/>
    <xf numFmtId="43" fontId="3" fillId="0" borderId="0" applyFont="0" applyFill="0" applyBorder="0" applyAlignment="0" applyProtection="0"/>
    <xf numFmtId="0" fontId="24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/>
    <xf numFmtId="43" fontId="24" fillId="0" borderId="0" applyFont="0" applyFill="0" applyBorder="0" applyAlignment="0" applyProtection="0"/>
    <xf numFmtId="0" fontId="24" fillId="0" borderId="0"/>
    <xf numFmtId="0" fontId="27" fillId="0" borderId="0" applyNumberFormat="0" applyFill="0" applyBorder="0" applyAlignment="0" applyProtection="0"/>
    <xf numFmtId="0" fontId="31" fillId="36" borderId="34" applyAlignment="0">
      <alignment horizontal="center"/>
    </xf>
    <xf numFmtId="0" fontId="3" fillId="2" borderId="33" applyFill="0" applyAlignment="0">
      <alignment horizontal="center" vertical="center" wrapText="1"/>
    </xf>
  </cellStyleXfs>
  <cellXfs count="102">
    <xf numFmtId="0" fontId="0" fillId="0" borderId="0" xfId="0"/>
    <xf numFmtId="0" fontId="0" fillId="3" borderId="0" xfId="0" applyFill="1"/>
    <xf numFmtId="0" fontId="26" fillId="0" borderId="1" xfId="0" applyFont="1" applyBorder="1" applyAlignment="1">
      <alignment vertical="top" wrapText="1"/>
    </xf>
    <xf numFmtId="0" fontId="26" fillId="0" borderId="1" xfId="0" applyFont="1" applyBorder="1" applyAlignment="1">
      <alignment horizontal="center" vertical="top"/>
    </xf>
    <xf numFmtId="0" fontId="26" fillId="0" borderId="1" xfId="0" applyFont="1" applyBorder="1" applyAlignment="1">
      <alignment vertical="top"/>
    </xf>
    <xf numFmtId="0" fontId="0" fillId="39" borderId="0" xfId="0" applyFill="1" applyAlignment="1">
      <alignment horizontal="justify" vertical="center" wrapText="1"/>
    </xf>
    <xf numFmtId="0" fontId="0" fillId="39" borderId="0" xfId="0" applyFill="1" applyAlignment="1">
      <alignment horizontal="center" vertical="center"/>
    </xf>
    <xf numFmtId="0" fontId="0" fillId="39" borderId="0" xfId="0" applyFill="1"/>
    <xf numFmtId="0" fontId="0" fillId="39" borderId="1" xfId="0" applyFill="1" applyBorder="1" applyAlignment="1">
      <alignment horizontal="justify" vertical="center" wrapText="1"/>
    </xf>
    <xf numFmtId="0" fontId="18" fillId="39" borderId="1" xfId="0" applyFont="1" applyFill="1" applyBorder="1" applyAlignment="1">
      <alignment horizontal="justify" vertical="center" wrapText="1"/>
    </xf>
    <xf numFmtId="0" fontId="28" fillId="39" borderId="0" xfId="0" applyFont="1" applyFill="1"/>
    <xf numFmtId="0" fontId="29" fillId="39" borderId="0" xfId="0" applyFont="1" applyFill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5" borderId="0" xfId="0" applyFill="1" applyAlignment="1">
      <alignment horizontal="left" vertical="center"/>
    </xf>
    <xf numFmtId="0" fontId="0" fillId="0" borderId="0" xfId="0" applyAlignment="1">
      <alignment horizontal="justify" vertical="center"/>
    </xf>
    <xf numFmtId="0" fontId="0" fillId="0" borderId="1" xfId="0" applyBorder="1" applyAlignment="1">
      <alignment horizontal="justify" vertical="center"/>
    </xf>
    <xf numFmtId="0" fontId="15" fillId="39" borderId="0" xfId="0" applyFont="1" applyFill="1" applyAlignment="1">
      <alignment horizontal="center" vertical="center"/>
    </xf>
    <xf numFmtId="0" fontId="33" fillId="39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1" fillId="36" borderId="2" xfId="0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center" vertical="center" wrapText="1"/>
    </xf>
    <xf numFmtId="0" fontId="29" fillId="39" borderId="0" xfId="0" applyFont="1" applyFill="1" applyAlignment="1">
      <alignment horizontal="center" vertical="center"/>
    </xf>
    <xf numFmtId="0" fontId="31" fillId="36" borderId="3" xfId="0" applyFont="1" applyFill="1" applyBorder="1" applyAlignment="1">
      <alignment horizontal="center" vertical="center" wrapText="1"/>
    </xf>
    <xf numFmtId="0" fontId="31" fillId="36" borderId="3" xfId="0" applyFont="1" applyFill="1" applyBorder="1" applyAlignment="1">
      <alignment horizontal="center" vertical="center"/>
    </xf>
    <xf numFmtId="0" fontId="31" fillId="36" borderId="19" xfId="0" applyFont="1" applyFill="1" applyBorder="1" applyAlignment="1">
      <alignment horizontal="center" vertical="center" wrapText="1"/>
    </xf>
    <xf numFmtId="0" fontId="19" fillId="39" borderId="0" xfId="0" applyFont="1" applyFill="1"/>
    <xf numFmtId="0" fontId="19" fillId="39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 wrapText="1"/>
    </xf>
    <xf numFmtId="0" fontId="0" fillId="35" borderId="0" xfId="0" applyFill="1" applyAlignment="1">
      <alignment horizontal="justify" vertical="center"/>
    </xf>
    <xf numFmtId="0" fontId="0" fillId="0" borderId="0" xfId="0" applyAlignment="1">
      <alignment horizontal="left" vertical="center"/>
    </xf>
    <xf numFmtId="0" fontId="36" fillId="0" borderId="25" xfId="0" applyFont="1" applyBorder="1" applyAlignment="1">
      <alignment horizontal="justify" vertical="center" wrapText="1"/>
    </xf>
    <xf numFmtId="0" fontId="36" fillId="0" borderId="26" xfId="0" applyFont="1" applyBorder="1" applyAlignment="1">
      <alignment horizontal="justify" vertical="center" wrapText="1"/>
    </xf>
    <xf numFmtId="0" fontId="36" fillId="0" borderId="27" xfId="0" applyFont="1" applyBorder="1" applyAlignment="1">
      <alignment horizontal="justify" vertical="center" wrapText="1"/>
    </xf>
    <xf numFmtId="0" fontId="37" fillId="0" borderId="28" xfId="0" applyFont="1" applyBorder="1" applyAlignment="1">
      <alignment horizontal="justify" vertical="center" wrapText="1"/>
    </xf>
    <xf numFmtId="0" fontId="37" fillId="0" borderId="30" xfId="0" applyFont="1" applyBorder="1" applyAlignment="1">
      <alignment horizontal="justify" vertical="center" wrapText="1"/>
    </xf>
    <xf numFmtId="1" fontId="0" fillId="2" borderId="1" xfId="0" applyNumberFormat="1" applyFill="1" applyBorder="1" applyAlignment="1">
      <alignment horizontal="left" vertical="center" wrapText="1"/>
    </xf>
    <xf numFmtId="0" fontId="36" fillId="0" borderId="2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 applyProtection="1">
      <alignment horizontal="left" vertical="center"/>
      <protection hidden="1"/>
    </xf>
    <xf numFmtId="0" fontId="0" fillId="39" borderId="0" xfId="0" applyFill="1" applyAlignment="1">
      <alignment horizontal="center"/>
    </xf>
    <xf numFmtId="0" fontId="28" fillId="2" borderId="0" xfId="0" applyFont="1" applyFill="1" applyAlignment="1">
      <alignment vertical="center"/>
    </xf>
    <xf numFmtId="0" fontId="29" fillId="2" borderId="0" xfId="0" applyFont="1" applyFill="1" applyAlignment="1">
      <alignment horizontal="center" vertical="center"/>
    </xf>
    <xf numFmtId="0" fontId="0" fillId="2" borderId="0" xfId="0" applyFill="1" applyAlignment="1">
      <alignment horizontal="justify" vertical="center" wrapText="1"/>
    </xf>
    <xf numFmtId="1" fontId="0" fillId="2" borderId="1" xfId="0" applyNumberFormat="1" applyFill="1" applyBorder="1" applyAlignment="1" applyProtection="1">
      <alignment horizontal="left" vertical="center" wrapText="1"/>
      <protection hidden="1"/>
    </xf>
    <xf numFmtId="0" fontId="37" fillId="0" borderId="26" xfId="0" applyFont="1" applyBorder="1" applyAlignment="1">
      <alignment horizontal="justify" vertical="center" wrapText="1"/>
    </xf>
    <xf numFmtId="0" fontId="37" fillId="0" borderId="29" xfId="0" applyFont="1" applyBorder="1" applyAlignment="1">
      <alignment horizontal="justify" vertical="center" wrapText="1"/>
    </xf>
    <xf numFmtId="0" fontId="37" fillId="0" borderId="31" xfId="0" applyFont="1" applyBorder="1" applyAlignment="1">
      <alignment horizontal="justify" vertical="center" wrapText="1"/>
    </xf>
    <xf numFmtId="0" fontId="37" fillId="0" borderId="25" xfId="0" applyFont="1" applyBorder="1" applyAlignment="1">
      <alignment horizontal="justify" vertical="center" wrapText="1"/>
    </xf>
    <xf numFmtId="0" fontId="36" fillId="0" borderId="26" xfId="0" applyFont="1" applyBorder="1" applyAlignment="1">
      <alignment vertical="center" wrapText="1"/>
    </xf>
    <xf numFmtId="0" fontId="37" fillId="0" borderId="26" xfId="0" applyFont="1" applyBorder="1" applyAlignment="1">
      <alignment horizontal="left" vertical="center" wrapText="1"/>
    </xf>
    <xf numFmtId="0" fontId="37" fillId="0" borderId="29" xfId="0" applyFont="1" applyBorder="1" applyAlignment="1">
      <alignment horizontal="left" vertical="center" wrapText="1"/>
    </xf>
    <xf numFmtId="0" fontId="31" fillId="36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0" fontId="29" fillId="39" borderId="1" xfId="0" applyFont="1" applyFill="1" applyBorder="1" applyAlignment="1">
      <alignment horizontal="justify" vertical="center" wrapText="1"/>
    </xf>
    <xf numFmtId="0" fontId="0" fillId="39" borderId="0" xfId="0" applyFill="1" applyAlignment="1">
      <alignment vertical="center"/>
    </xf>
    <xf numFmtId="0" fontId="0" fillId="39" borderId="2" xfId="0" applyFill="1" applyBorder="1" applyAlignment="1">
      <alignment vertical="center"/>
    </xf>
    <xf numFmtId="0" fontId="0" fillId="39" borderId="18" xfId="0" applyFill="1" applyBorder="1" applyAlignment="1">
      <alignment vertical="center"/>
    </xf>
    <xf numFmtId="0" fontId="40" fillId="2" borderId="0" xfId="0" applyFont="1" applyFill="1" applyAlignment="1">
      <alignment vertical="center"/>
    </xf>
    <xf numFmtId="0" fontId="40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44" fillId="37" borderId="0" xfId="0" applyFont="1" applyFill="1" applyAlignment="1">
      <alignment horizontal="center"/>
    </xf>
    <xf numFmtId="0" fontId="0" fillId="39" borderId="37" xfId="0" applyFill="1" applyBorder="1" applyAlignment="1">
      <alignment horizontal="center" vertical="center" wrapText="1"/>
    </xf>
    <xf numFmtId="0" fontId="29" fillId="39" borderId="1" xfId="0" applyFont="1" applyFill="1" applyBorder="1" applyAlignment="1">
      <alignment horizontal="justify" wrapText="1"/>
    </xf>
    <xf numFmtId="0" fontId="0" fillId="0" borderId="1" xfId="0" applyBorder="1" applyAlignment="1">
      <alignment horizontal="center" vertical="center" wrapText="1"/>
    </xf>
    <xf numFmtId="0" fontId="38" fillId="0" borderId="1" xfId="0" applyFont="1" applyBorder="1" applyAlignment="1">
      <alignment horizontal="justify" vertical="center" wrapText="1"/>
    </xf>
    <xf numFmtId="0" fontId="29" fillId="39" borderId="1" xfId="0" applyFont="1" applyFill="1" applyBorder="1" applyAlignment="1">
      <alignment horizontal="center" vertical="center" wrapText="1"/>
    </xf>
    <xf numFmtId="0" fontId="39" fillId="39" borderId="16" xfId="0" applyFont="1" applyFill="1" applyBorder="1" applyAlignment="1">
      <alignment horizontal="center" vertical="center" wrapText="1"/>
    </xf>
    <xf numFmtId="0" fontId="39" fillId="39" borderId="20" xfId="0" applyFont="1" applyFill="1" applyBorder="1" applyAlignment="1">
      <alignment horizontal="center" vertical="center" wrapText="1"/>
    </xf>
    <xf numFmtId="0" fontId="39" fillId="39" borderId="17" xfId="0" applyFont="1" applyFill="1" applyBorder="1" applyAlignment="1">
      <alignment horizontal="center" vertical="center" wrapText="1"/>
    </xf>
    <xf numFmtId="0" fontId="39" fillId="39" borderId="32" xfId="0" applyFont="1" applyFill="1" applyBorder="1" applyAlignment="1">
      <alignment horizontal="center" vertical="center" wrapText="1"/>
    </xf>
    <xf numFmtId="0" fontId="0" fillId="39" borderId="0" xfId="0" applyFill="1" applyAlignment="1">
      <alignment horizontal="center"/>
    </xf>
    <xf numFmtId="0" fontId="40" fillId="40" borderId="0" xfId="0" applyFont="1" applyFill="1" applyAlignment="1">
      <alignment horizontal="center" vertical="center"/>
    </xf>
    <xf numFmtId="0" fontId="31" fillId="36" borderId="1" xfId="0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center" vertical="center"/>
    </xf>
    <xf numFmtId="0" fontId="28" fillId="37" borderId="0" xfId="0" applyFont="1" applyFill="1" applyAlignment="1">
      <alignment horizontal="center" vertical="center"/>
    </xf>
    <xf numFmtId="0" fontId="28" fillId="39" borderId="13" xfId="0" applyFont="1" applyFill="1" applyBorder="1" applyAlignment="1">
      <alignment horizontal="center" vertical="center"/>
    </xf>
    <xf numFmtId="0" fontId="28" fillId="39" borderId="15" xfId="0" applyFont="1" applyFill="1" applyBorder="1" applyAlignment="1">
      <alignment horizontal="center" vertical="center"/>
    </xf>
    <xf numFmtId="0" fontId="31" fillId="36" borderId="13" xfId="0" applyFont="1" applyFill="1" applyBorder="1" applyAlignment="1">
      <alignment horizontal="center" vertical="center" wrapText="1"/>
    </xf>
    <xf numFmtId="0" fontId="31" fillId="36" borderId="14" xfId="0" applyFont="1" applyFill="1" applyBorder="1" applyAlignment="1">
      <alignment horizontal="center" vertical="center" wrapText="1"/>
    </xf>
    <xf numFmtId="0" fontId="31" fillId="36" borderId="15" xfId="0" applyFont="1" applyFill="1" applyBorder="1" applyAlignment="1">
      <alignment horizontal="center" vertical="center" wrapText="1"/>
    </xf>
    <xf numFmtId="0" fontId="39" fillId="39" borderId="21" xfId="0" applyFont="1" applyFill="1" applyBorder="1" applyAlignment="1">
      <alignment horizontal="center" vertical="center" wrapText="1"/>
    </xf>
    <xf numFmtId="0" fontId="39" fillId="39" borderId="24" xfId="0" applyFont="1" applyFill="1" applyBorder="1" applyAlignment="1">
      <alignment horizontal="center" vertical="center" wrapText="1"/>
    </xf>
    <xf numFmtId="0" fontId="0" fillId="39" borderId="2" xfId="0" applyFill="1" applyBorder="1" applyAlignment="1">
      <alignment horizontal="center" vertical="center"/>
    </xf>
    <xf numFmtId="0" fontId="0" fillId="39" borderId="18" xfId="0" applyFill="1" applyBorder="1" applyAlignment="1">
      <alignment horizontal="center" vertical="center"/>
    </xf>
    <xf numFmtId="0" fontId="28" fillId="39" borderId="2" xfId="0" applyFont="1" applyFill="1" applyBorder="1" applyAlignment="1">
      <alignment horizontal="center"/>
    </xf>
    <xf numFmtId="0" fontId="28" fillId="39" borderId="18" xfId="0" applyFont="1" applyFill="1" applyBorder="1" applyAlignment="1">
      <alignment horizontal="center"/>
    </xf>
    <xf numFmtId="0" fontId="41" fillId="40" borderId="13" xfId="0" applyFont="1" applyFill="1" applyBorder="1" applyAlignment="1">
      <alignment horizontal="center" vertical="center"/>
    </xf>
    <xf numFmtId="0" fontId="41" fillId="40" borderId="14" xfId="0" applyFont="1" applyFill="1" applyBorder="1" applyAlignment="1">
      <alignment horizontal="center" vertical="center"/>
    </xf>
    <xf numFmtId="0" fontId="41" fillId="40" borderId="15" xfId="0" applyFont="1" applyFill="1" applyBorder="1" applyAlignment="1">
      <alignment horizontal="center" vertical="center"/>
    </xf>
    <xf numFmtId="0" fontId="43" fillId="40" borderId="13" xfId="0" applyFont="1" applyFill="1" applyBorder="1" applyAlignment="1">
      <alignment horizontal="center" vertical="center" wrapText="1"/>
    </xf>
    <xf numFmtId="0" fontId="43" fillId="40" borderId="14" xfId="0" applyFont="1" applyFill="1" applyBorder="1" applyAlignment="1">
      <alignment horizontal="center" vertical="center" wrapText="1"/>
    </xf>
    <xf numFmtId="0" fontId="43" fillId="40" borderId="15" xfId="0" applyFont="1" applyFill="1" applyBorder="1" applyAlignment="1">
      <alignment horizontal="center" vertical="center" wrapText="1"/>
    </xf>
    <xf numFmtId="0" fontId="32" fillId="41" borderId="35" xfId="0" applyFont="1" applyFill="1" applyBorder="1" applyAlignment="1">
      <alignment horizontal="center" vertical="center" wrapText="1"/>
    </xf>
    <xf numFmtId="0" fontId="32" fillId="41" borderId="36" xfId="0" applyFont="1" applyFill="1" applyBorder="1" applyAlignment="1">
      <alignment horizontal="center" vertical="center" wrapText="1"/>
    </xf>
    <xf numFmtId="0" fontId="42" fillId="42" borderId="1" xfId="0" applyFont="1" applyFill="1" applyBorder="1" applyAlignment="1">
      <alignment horizontal="center" vertical="center" wrapText="1"/>
    </xf>
  </cellXfs>
  <cellStyles count="55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5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1" builtinId="16" customBuiltin="1"/>
    <cellStyle name="Encabezado 4" xfId="4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8" builtinId="20" customBuiltin="1"/>
    <cellStyle name="Estilo 1" xfId="53" xr:uid="{00000000-0005-0000-0000-00001F000000}"/>
    <cellStyle name="Estilo 2" xfId="42" xr:uid="{00000000-0005-0000-0000-000020000000}"/>
    <cellStyle name="Estilo 3" xfId="43" xr:uid="{00000000-0005-0000-0000-000021000000}"/>
    <cellStyle name="Estilo 4" xfId="44" xr:uid="{00000000-0005-0000-0000-000022000000}"/>
    <cellStyle name="Estilo 5" xfId="54" xr:uid="{00000000-0005-0000-0000-000023000000}"/>
    <cellStyle name="Estilo 6" xfId="41" xr:uid="{00000000-0005-0000-0000-000024000000}"/>
    <cellStyle name="Hipervínculo 2" xfId="48" xr:uid="{00000000-0005-0000-0000-000025000000}"/>
    <cellStyle name="Hyperlink" xfId="52" xr:uid="{00000000-0005-0000-0000-000026000000}"/>
    <cellStyle name="Incorrecto" xfId="6" builtinId="27" customBuiltin="1"/>
    <cellStyle name="Millares 2" xfId="50" xr:uid="{00000000-0005-0000-0000-000028000000}"/>
    <cellStyle name="Millares 3" xfId="46" xr:uid="{00000000-0005-0000-0000-000029000000}"/>
    <cellStyle name="Neutral" xfId="7" builtinId="28" customBuiltin="1"/>
    <cellStyle name="Normal" xfId="0" builtinId="0"/>
    <cellStyle name="Normal 2" xfId="47" xr:uid="{00000000-0005-0000-0000-00002C000000}"/>
    <cellStyle name="Normal 3" xfId="45" xr:uid="{00000000-0005-0000-0000-00002D000000}"/>
    <cellStyle name="Normal 3 2" xfId="51" xr:uid="{00000000-0005-0000-0000-00002E000000}"/>
    <cellStyle name="Notas" xfId="14" builtinId="10" customBuiltin="1"/>
    <cellStyle name="Salida" xfId="9" builtinId="21" customBuiltin="1"/>
    <cellStyle name="Texto de advertencia" xfId="13" builtinId="11" customBuiltin="1"/>
    <cellStyle name="Texto explicativo" xfId="15" builtinId="53" customBuiltin="1"/>
    <cellStyle name="Título 2" xfId="2" builtinId="17" customBuiltin="1"/>
    <cellStyle name="Título 3" xfId="3" builtinId="18" customBuiltin="1"/>
    <cellStyle name="Título 4" xfId="49" xr:uid="{00000000-0005-0000-0000-000035000000}"/>
    <cellStyle name="Total" xfId="16" builtinId="25" customBuiltin="1"/>
  </cellStyles>
  <dxfs count="29">
    <dxf>
      <font>
        <b val="0"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solid">
          <fgColor indexed="64"/>
          <bgColor rgb="FFFFFF00"/>
        </patternFill>
      </fill>
      <alignment horizontal="justify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color theme="2" tint="-0.749992370372631"/>
        <name val="Calibri"/>
        <scheme val="minor"/>
      </font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color theme="2" tint="-0.749992370372631"/>
        <name val="Calibri"/>
        <scheme val="minor"/>
      </font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color theme="2" tint="-0.749992370372631"/>
        <name val="Calibri"/>
        <scheme val="minor"/>
      </font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color theme="2" tint="-0.749992370372631"/>
        <name val="Calibri"/>
        <scheme val="minor"/>
      </font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009999"/>
        </patternFill>
      </fill>
      <alignment horizontal="justify" vertical="center" textRotation="0" wrapText="0" indent="0" justifyLastLine="0" shrinkToFit="0" readingOrder="0"/>
      <border>
        <right style="thin">
          <color indexed="64"/>
        </right>
      </border>
    </dxf>
    <dxf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2F2F2"/>
      <color rgb="FF8EA9DB"/>
      <color rgb="FF8EA2A9"/>
      <color rgb="FF8497B0"/>
      <color rgb="FF009999"/>
      <color rgb="FF375623"/>
      <color rgb="FF33CCCC"/>
      <color rgb="FFC6E7F6"/>
      <color rgb="FF0099CC"/>
      <color rgb="FF145D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189426</xdr:colOff>
      <xdr:row>0</xdr:row>
      <xdr:rowOff>29766</xdr:rowOff>
    </xdr:from>
    <xdr:to>
      <xdr:col>9</xdr:col>
      <xdr:colOff>1443634</xdr:colOff>
      <xdr:row>1</xdr:row>
      <xdr:rowOff>531718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6694465" y="29766"/>
          <a:ext cx="1254208" cy="88890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10</xdr:row>
      <xdr:rowOff>87085</xdr:rowOff>
    </xdr:from>
    <xdr:to>
      <xdr:col>9</xdr:col>
      <xdr:colOff>5236029</xdr:colOff>
      <xdr:row>10</xdr:row>
      <xdr:rowOff>2592874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FD26536-A543-4D2B-BF58-6D62360EF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87257" y="2873828"/>
          <a:ext cx="5083629" cy="25057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206262</xdr:colOff>
      <xdr:row>0</xdr:row>
      <xdr:rowOff>10159</xdr:rowOff>
    </xdr:from>
    <xdr:to>
      <xdr:col>7</xdr:col>
      <xdr:colOff>1512795</xdr:colOff>
      <xdr:row>1</xdr:row>
      <xdr:rowOff>557740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1804350" y="10159"/>
          <a:ext cx="1306533" cy="925780"/>
        </a:xfrm>
        <a:prstGeom prst="rect">
          <a:avLst/>
        </a:prstGeom>
      </xdr:spPr>
    </xdr:pic>
    <xdr:clientData/>
  </xdr:twoCellAnchor>
  <xdr:twoCellAnchor editAs="oneCell">
    <xdr:from>
      <xdr:col>7</xdr:col>
      <xdr:colOff>119742</xdr:colOff>
      <xdr:row>10</xdr:row>
      <xdr:rowOff>90686</xdr:rowOff>
    </xdr:from>
    <xdr:to>
      <xdr:col>7</xdr:col>
      <xdr:colOff>6152145</xdr:colOff>
      <xdr:row>10</xdr:row>
      <xdr:rowOff>3069772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744D02-9F6C-7366-22BF-463109021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75028" y="2518200"/>
          <a:ext cx="6043833" cy="29790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96172</xdr:colOff>
      <xdr:row>0</xdr:row>
      <xdr:rowOff>13804</xdr:rowOff>
    </xdr:from>
    <xdr:to>
      <xdr:col>13</xdr:col>
      <xdr:colOff>1592020</xdr:colOff>
      <xdr:row>1</xdr:row>
      <xdr:rowOff>496956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22735302" y="13804"/>
          <a:ext cx="1495848" cy="8696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2183606</xdr:colOff>
      <xdr:row>5</xdr:row>
      <xdr:rowOff>388144</xdr:rowOff>
    </xdr:from>
    <xdr:to>
      <xdr:col>3</xdr:col>
      <xdr:colOff>1507331</xdr:colOff>
      <xdr:row>5</xdr:row>
      <xdr:rowOff>492919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479006" y="1674019"/>
          <a:ext cx="1533525" cy="104775"/>
        </a:xfrm>
        <a:prstGeom prst="rightArrow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180975</xdr:colOff>
      <xdr:row>5</xdr:row>
      <xdr:rowOff>171450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3500" y="1285875"/>
          <a:ext cx="171450" cy="1714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1:AA5" totalsRowShown="0" headerRowDxfId="28" dataDxfId="27">
  <autoFilter ref="A1:AA5" xr:uid="{00000000-0009-0000-0100-000001000000}"/>
  <tableColumns count="27">
    <tableColumn id="1" xr3:uid="{00000000-0010-0000-0100-000001000000}" name="1" dataDxfId="26"/>
    <tableColumn id="2" xr3:uid="{00000000-0010-0000-0100-000002000000}" name="2" dataDxfId="25"/>
    <tableColumn id="3" xr3:uid="{00000000-0010-0000-0100-000003000000}" name="3" dataDxfId="24"/>
    <tableColumn id="4" xr3:uid="{00000000-0010-0000-0100-000004000000}" name="4" dataDxfId="23"/>
    <tableColumn id="5" xr3:uid="{00000000-0010-0000-0100-000005000000}" name="5" dataDxfId="22"/>
    <tableColumn id="6" xr3:uid="{00000000-0010-0000-0100-000006000000}" name="6" dataDxfId="21"/>
    <tableColumn id="7" xr3:uid="{00000000-0010-0000-0100-000007000000}" name="7" dataDxfId="20"/>
    <tableColumn id="8" xr3:uid="{00000000-0010-0000-0100-000008000000}" name="8" dataDxfId="19"/>
    <tableColumn id="9" xr3:uid="{00000000-0010-0000-0100-000009000000}" name="9" dataDxfId="18"/>
    <tableColumn id="10" xr3:uid="{00000000-0010-0000-0100-00000A000000}" name="10" dataDxfId="17"/>
    <tableColumn id="11" xr3:uid="{00000000-0010-0000-0100-00000B000000}" name="11" dataDxfId="16"/>
    <tableColumn id="12" xr3:uid="{00000000-0010-0000-0100-00000C000000}" name="12" dataDxfId="15"/>
    <tableColumn id="13" xr3:uid="{00000000-0010-0000-0100-00000D000000}" name="13" dataDxfId="14"/>
    <tableColumn id="14" xr3:uid="{00000000-0010-0000-0100-00000E000000}" name="14" dataDxfId="13"/>
    <tableColumn id="15" xr3:uid="{00000000-0010-0000-0100-00000F000000}" name="15" dataDxfId="12"/>
    <tableColumn id="16" xr3:uid="{00000000-0010-0000-0100-000010000000}" name="16" dataDxfId="11"/>
    <tableColumn id="17" xr3:uid="{00000000-0010-0000-0100-000011000000}" name="17" dataDxfId="10"/>
    <tableColumn id="18" xr3:uid="{00000000-0010-0000-0100-000012000000}" name="18" dataDxfId="9"/>
    <tableColumn id="19" xr3:uid="{00000000-0010-0000-0100-000013000000}" name="19" dataDxfId="8"/>
    <tableColumn id="20" xr3:uid="{00000000-0010-0000-0100-000014000000}" name="20" dataDxfId="7"/>
    <tableColumn id="21" xr3:uid="{00000000-0010-0000-0100-000015000000}" name="21" dataDxfId="6"/>
    <tableColumn id="22" xr3:uid="{00000000-0010-0000-0100-000016000000}" name="22" dataDxfId="5"/>
    <tableColumn id="23" xr3:uid="{00000000-0010-0000-0100-000017000000}" name="23" dataDxfId="4"/>
    <tableColumn id="24" xr3:uid="{00000000-0010-0000-0100-000018000000}" name="24" dataDxfId="3"/>
    <tableColumn id="25" xr3:uid="{00000000-0010-0000-0100-000019000000}" name="25" dataDxfId="2"/>
    <tableColumn id="26" xr3:uid="{00000000-0010-0000-0100-00001A000000}" name="26" dataDxfId="1"/>
    <tableColumn id="27" xr3:uid="{00000000-0010-0000-0100-00001B000000}" name="2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00B0F0"/>
        </a:solidFill>
        <a:ln>
          <a:solidFill>
            <a:srgbClr val="00B0F0"/>
          </a:solidFill>
        </a:ln>
      </a:spPr>
      <a:bodyPr wrap="square" rtlCol="0" anchor="ctr"/>
      <a:lstStyle>
        <a:defPPr algn="ctr">
          <a:defRPr sz="1000" b="1">
            <a:solidFill>
              <a:srgbClr val="FF0000"/>
            </a:solidFill>
            <a:latin typeface="+mj-lt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9"/>
  <sheetViews>
    <sheetView tabSelected="1" zoomScale="70" zoomScaleNormal="70" zoomScaleSheetLayoutView="86" workbookViewId="0">
      <selection activeCell="F10" sqref="F10"/>
    </sheetView>
  </sheetViews>
  <sheetFormatPr baseColWidth="10" defaultColWidth="11.44140625" defaultRowHeight="14.4"/>
  <cols>
    <col min="1" max="1" width="1.5546875" style="7" customWidth="1"/>
    <col min="2" max="2" width="10.109375" style="7" customWidth="1"/>
    <col min="3" max="3" width="37.44140625" style="7" customWidth="1"/>
    <col min="4" max="4" width="37.33203125" style="7" customWidth="1"/>
    <col min="5" max="5" width="29.6640625" style="7" customWidth="1"/>
    <col min="6" max="6" width="51.6640625" style="7" customWidth="1"/>
    <col min="7" max="7" width="27.21875" style="7" customWidth="1"/>
    <col min="8" max="8" width="25.6640625" style="7" customWidth="1"/>
    <col min="9" max="9" width="36.109375" style="7" customWidth="1"/>
    <col min="10" max="10" width="81.77734375" style="7" customWidth="1"/>
    <col min="11" max="11" width="39.109375" style="7" customWidth="1"/>
    <col min="12" max="14" width="11.44140625" style="7" customWidth="1"/>
    <col min="15" max="16384" width="11.44140625" style="7"/>
  </cols>
  <sheetData>
    <row r="1" spans="2:12" ht="30" customHeight="1">
      <c r="B1" s="82" t="s">
        <v>243</v>
      </c>
      <c r="C1" s="83"/>
      <c r="D1" s="73" t="s">
        <v>259</v>
      </c>
      <c r="E1" s="74"/>
      <c r="F1" s="74"/>
      <c r="G1" s="74"/>
      <c r="H1" s="74"/>
      <c r="I1" s="74"/>
      <c r="J1" s="61"/>
      <c r="K1" s="60"/>
    </row>
    <row r="2" spans="2:12" ht="46.5" customHeight="1">
      <c r="B2" s="82" t="s">
        <v>260</v>
      </c>
      <c r="C2" s="83"/>
      <c r="D2" s="75"/>
      <c r="E2" s="76"/>
      <c r="F2" s="76"/>
      <c r="G2" s="76"/>
      <c r="H2" s="76"/>
      <c r="I2" s="76"/>
      <c r="J2" s="62"/>
      <c r="K2" s="60"/>
    </row>
    <row r="3" spans="2:12" ht="9.75" customHeight="1"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</row>
    <row r="4" spans="2:12" ht="15.75" customHeight="1">
      <c r="B4" s="78" t="s">
        <v>0</v>
      </c>
      <c r="C4" s="78"/>
      <c r="D4" s="78"/>
      <c r="E4" s="78"/>
      <c r="F4" s="78"/>
      <c r="G4" s="78"/>
      <c r="H4" s="78"/>
      <c r="I4" s="78"/>
      <c r="J4" s="78"/>
      <c r="K4" s="63"/>
      <c r="L4" s="64"/>
    </row>
    <row r="5" spans="2:12" ht="6.75" customHeight="1">
      <c r="B5" s="45"/>
      <c r="C5" s="45"/>
      <c r="D5" s="45"/>
      <c r="E5" s="45"/>
      <c r="F5" s="45"/>
      <c r="G5" s="45"/>
      <c r="H5" s="45"/>
      <c r="I5" s="45"/>
      <c r="J5" s="45"/>
      <c r="K5" s="14"/>
      <c r="L5" s="14"/>
    </row>
    <row r="6" spans="2:12" ht="24" customHeight="1">
      <c r="B6" s="81" t="s">
        <v>1</v>
      </c>
      <c r="C6" s="81"/>
      <c r="D6" s="81"/>
      <c r="E6" s="81"/>
      <c r="F6" s="81"/>
      <c r="G6" s="81"/>
      <c r="H6" s="81"/>
      <c r="I6" s="81"/>
      <c r="J6" s="81"/>
      <c r="K6" s="46"/>
      <c r="L6" s="46"/>
    </row>
    <row r="7" spans="2:12" ht="12.75" customHeight="1"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</row>
    <row r="8" spans="2:12" s="27" customFormat="1" ht="15.75" customHeight="1">
      <c r="B8" s="80" t="s">
        <v>13</v>
      </c>
      <c r="C8" s="80"/>
      <c r="D8" s="80"/>
      <c r="E8" s="79" t="s">
        <v>14</v>
      </c>
      <c r="F8" s="79"/>
      <c r="G8" s="79" t="s">
        <v>15</v>
      </c>
      <c r="H8" s="79"/>
      <c r="I8" s="79"/>
      <c r="J8" s="79"/>
      <c r="K8" s="19"/>
    </row>
    <row r="9" spans="2:12" s="23" customFormat="1" ht="59.25" customHeight="1">
      <c r="B9" s="22" t="s">
        <v>2</v>
      </c>
      <c r="C9" s="22" t="s">
        <v>16</v>
      </c>
      <c r="D9" s="22" t="s">
        <v>256</v>
      </c>
      <c r="E9" s="22" t="s">
        <v>257</v>
      </c>
      <c r="F9" s="22" t="s">
        <v>17</v>
      </c>
      <c r="G9" s="22" t="s">
        <v>18</v>
      </c>
      <c r="H9" s="22" t="s">
        <v>19</v>
      </c>
      <c r="I9" s="57" t="s">
        <v>20</v>
      </c>
      <c r="J9" s="22" t="s">
        <v>21</v>
      </c>
      <c r="K9" s="11"/>
    </row>
    <row r="10" spans="2:12" s="23" customFormat="1" ht="237" customHeight="1">
      <c r="B10" s="58">
        <v>1</v>
      </c>
      <c r="C10" s="68" t="s">
        <v>263</v>
      </c>
      <c r="D10" s="59" t="s">
        <v>261</v>
      </c>
      <c r="E10" s="59" t="s">
        <v>54</v>
      </c>
      <c r="F10" s="72" t="s">
        <v>267</v>
      </c>
      <c r="G10" s="71" t="s">
        <v>266</v>
      </c>
      <c r="H10" s="71" t="s">
        <v>264</v>
      </c>
      <c r="I10" s="71" t="s">
        <v>265</v>
      </c>
      <c r="J10" s="59" t="s">
        <v>267</v>
      </c>
      <c r="K10" s="11"/>
    </row>
    <row r="11" spans="2:12" s="5" customFormat="1" ht="252" customHeight="1">
      <c r="B11" s="58">
        <v>2</v>
      </c>
      <c r="C11" s="68" t="s">
        <v>262</v>
      </c>
      <c r="D11" s="59" t="s">
        <v>261</v>
      </c>
      <c r="E11" s="59" t="s">
        <v>48</v>
      </c>
      <c r="F11" s="59" t="s">
        <v>269</v>
      </c>
      <c r="G11" s="71" t="s">
        <v>266</v>
      </c>
      <c r="H11" s="71" t="s">
        <v>264</v>
      </c>
      <c r="I11" s="71" t="s">
        <v>265</v>
      </c>
      <c r="J11" s="69" t="s">
        <v>268</v>
      </c>
    </row>
    <row r="12" spans="2:12">
      <c r="K12" s="6"/>
    </row>
    <row r="13" spans="2:12" ht="15.6">
      <c r="B13" s="10"/>
      <c r="C13" s="11"/>
      <c r="D13" s="10"/>
      <c r="E13" s="11"/>
      <c r="F13" s="10"/>
    </row>
    <row r="14" spans="2:12" ht="15.6">
      <c r="B14" s="11"/>
      <c r="C14" s="11"/>
      <c r="D14" s="10"/>
      <c r="E14" s="11"/>
      <c r="F14" s="11"/>
    </row>
    <row r="15" spans="2:12" ht="15.6">
      <c r="B15" s="10"/>
      <c r="C15" s="11"/>
      <c r="D15" s="10"/>
      <c r="E15" s="11"/>
      <c r="F15" s="10"/>
    </row>
    <row r="16" spans="2:12" ht="15.6">
      <c r="B16" s="10"/>
      <c r="C16" s="11"/>
      <c r="D16" s="10"/>
      <c r="E16" s="11"/>
      <c r="F16" s="10"/>
    </row>
    <row r="17" spans="2:6" ht="15.6">
      <c r="B17" s="10"/>
      <c r="C17" s="11"/>
      <c r="D17" s="10"/>
      <c r="E17" s="11"/>
      <c r="F17" s="10"/>
    </row>
    <row r="18" spans="2:6" ht="15.6">
      <c r="B18" s="11"/>
      <c r="C18" s="11"/>
      <c r="D18" s="11"/>
      <c r="E18" s="11"/>
      <c r="F18" s="11"/>
    </row>
    <row r="19" spans="2:6" ht="15.6">
      <c r="B19" s="11"/>
      <c r="C19" s="11"/>
      <c r="D19" s="11"/>
      <c r="E19" s="11"/>
      <c r="F19" s="11"/>
    </row>
  </sheetData>
  <mergeCells count="9">
    <mergeCell ref="D1:I2"/>
    <mergeCell ref="B3:L3"/>
    <mergeCell ref="B4:J4"/>
    <mergeCell ref="G8:J8"/>
    <mergeCell ref="E8:F8"/>
    <mergeCell ref="B8:D8"/>
    <mergeCell ref="B6:J6"/>
    <mergeCell ref="B1:C1"/>
    <mergeCell ref="B2:C2"/>
  </mergeCells>
  <pageMargins left="0.7" right="0.7" top="0.75" bottom="0.75" header="0.3" footer="0.3"/>
  <pageSetup scale="43" fitToWidth="2" fitToHeight="0" orientation="landscape" r:id="rId1"/>
  <rowBreaks count="1" manualBreakCount="1">
    <brk id="27" max="1638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xx_Listas!$I$2:$I$5</xm:f>
          </x14:formula1>
          <xm:sqref>E10:E11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19"/>
  <sheetViews>
    <sheetView zoomScale="70" zoomScaleNormal="70" workbookViewId="0">
      <selection activeCell="I11" sqref="I11"/>
    </sheetView>
  </sheetViews>
  <sheetFormatPr baseColWidth="10" defaultColWidth="11.44140625" defaultRowHeight="14.4"/>
  <cols>
    <col min="1" max="1" width="1.5546875" style="7" customWidth="1"/>
    <col min="2" max="2" width="16.33203125" style="7" customWidth="1"/>
    <col min="3" max="3" width="37.44140625" style="7" customWidth="1"/>
    <col min="4" max="4" width="29.88671875" style="7" customWidth="1"/>
    <col min="5" max="6" width="29.6640625" style="7" customWidth="1"/>
    <col min="7" max="7" width="35.5546875" style="7" customWidth="1"/>
    <col min="8" max="8" width="92.6640625" style="7" customWidth="1"/>
    <col min="9" max="9" width="39.109375" style="12" customWidth="1"/>
    <col min="10" max="12" width="11.44140625" style="12" customWidth="1"/>
    <col min="13" max="16384" width="11.44140625" style="7"/>
  </cols>
  <sheetData>
    <row r="1" spans="2:12" s="6" customFormat="1" ht="30" customHeight="1">
      <c r="B1" s="82" t="s">
        <v>243</v>
      </c>
      <c r="C1" s="83"/>
      <c r="D1" s="73" t="s">
        <v>259</v>
      </c>
      <c r="E1" s="74"/>
      <c r="F1" s="74"/>
      <c r="G1" s="87"/>
      <c r="H1" s="89"/>
      <c r="I1" s="65"/>
      <c r="J1" s="65"/>
      <c r="K1" s="65"/>
      <c r="L1" s="65"/>
    </row>
    <row r="2" spans="2:12" s="6" customFormat="1" ht="46.5" customHeight="1">
      <c r="B2" s="82" t="s">
        <v>260</v>
      </c>
      <c r="C2" s="83"/>
      <c r="D2" s="75"/>
      <c r="E2" s="76"/>
      <c r="F2" s="76"/>
      <c r="G2" s="88"/>
      <c r="H2" s="90"/>
      <c r="I2" s="65"/>
      <c r="J2" s="65"/>
      <c r="K2" s="65"/>
      <c r="L2" s="65"/>
    </row>
    <row r="3" spans="2:12" ht="9.75" customHeight="1"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</row>
    <row r="4" spans="2:12" ht="15.75" customHeight="1">
      <c r="B4" s="78" t="s">
        <v>0</v>
      </c>
      <c r="C4" s="78"/>
      <c r="D4" s="78"/>
      <c r="E4" s="78"/>
      <c r="F4" s="78"/>
      <c r="G4" s="78"/>
      <c r="H4" s="78"/>
      <c r="I4" s="63"/>
      <c r="J4" s="63"/>
      <c r="K4" s="63"/>
      <c r="L4" s="63"/>
    </row>
    <row r="5" spans="2:12" ht="6.75" customHeight="1">
      <c r="B5" s="45"/>
      <c r="C5" s="45"/>
      <c r="D5" s="45"/>
      <c r="E5" s="45"/>
      <c r="F5" s="45"/>
      <c r="G5" s="45"/>
      <c r="H5" s="45"/>
      <c r="I5" s="14"/>
      <c r="J5" s="14"/>
      <c r="K5" s="14"/>
      <c r="L5" s="14"/>
    </row>
    <row r="6" spans="2:12" ht="24" customHeight="1">
      <c r="B6" s="81" t="s">
        <v>258</v>
      </c>
      <c r="C6" s="81"/>
      <c r="D6" s="81"/>
      <c r="E6" s="81"/>
      <c r="F6" s="81"/>
      <c r="G6" s="81"/>
      <c r="H6" s="81"/>
      <c r="I6" s="46"/>
      <c r="J6" s="46"/>
      <c r="K6" s="46"/>
      <c r="L6" s="46"/>
    </row>
    <row r="7" spans="2:12" ht="12.75" customHeight="1">
      <c r="B7" s="45"/>
      <c r="C7" s="45"/>
      <c r="D7" s="45"/>
      <c r="E7" s="45"/>
      <c r="F7" s="45"/>
      <c r="G7" s="45"/>
      <c r="H7" s="45"/>
      <c r="I7" s="14"/>
      <c r="J7" s="14"/>
      <c r="K7" s="14"/>
      <c r="L7" s="14"/>
    </row>
    <row r="8" spans="2:12" s="18" customFormat="1" ht="15.75" customHeight="1">
      <c r="B8" s="84" t="s">
        <v>249</v>
      </c>
      <c r="C8" s="85"/>
      <c r="D8" s="85"/>
      <c r="E8" s="85"/>
      <c r="F8" s="85"/>
      <c r="G8" s="85"/>
      <c r="H8" s="86"/>
      <c r="I8" s="65"/>
      <c r="J8" s="66"/>
      <c r="K8" s="66"/>
      <c r="L8" s="66"/>
    </row>
    <row r="9" spans="2:12" s="23" customFormat="1" ht="31.2">
      <c r="B9" s="24" t="s">
        <v>2</v>
      </c>
      <c r="C9" s="24" t="s">
        <v>16</v>
      </c>
      <c r="D9" s="24" t="s">
        <v>22</v>
      </c>
      <c r="E9" s="24" t="s">
        <v>23</v>
      </c>
      <c r="F9" s="24" t="s">
        <v>19</v>
      </c>
      <c r="G9" s="25" t="s">
        <v>20</v>
      </c>
      <c r="H9" s="22" t="s">
        <v>21</v>
      </c>
      <c r="I9" s="47"/>
      <c r="J9" s="47"/>
      <c r="K9" s="47"/>
      <c r="L9" s="47"/>
    </row>
    <row r="10" spans="2:12" s="23" customFormat="1" ht="142.19999999999999" customHeight="1">
      <c r="B10" s="70">
        <v>1</v>
      </c>
      <c r="C10" s="68" t="s">
        <v>263</v>
      </c>
      <c r="D10" s="59" t="s">
        <v>261</v>
      </c>
      <c r="E10" s="71" t="s">
        <v>266</v>
      </c>
      <c r="F10" s="71" t="s">
        <v>264</v>
      </c>
      <c r="G10" s="71" t="s">
        <v>265</v>
      </c>
      <c r="H10" s="59" t="s">
        <v>267</v>
      </c>
      <c r="I10" s="47"/>
      <c r="J10" s="47"/>
      <c r="K10" s="47"/>
      <c r="L10" s="47"/>
    </row>
    <row r="11" spans="2:12" s="5" customFormat="1" ht="292.2" customHeight="1">
      <c r="B11" s="70">
        <v>2</v>
      </c>
      <c r="C11" s="68" t="s">
        <v>262</v>
      </c>
      <c r="D11" s="59" t="s">
        <v>261</v>
      </c>
      <c r="E11" s="71" t="s">
        <v>266</v>
      </c>
      <c r="F11" s="71" t="s">
        <v>264</v>
      </c>
      <c r="G11" s="71" t="s">
        <v>265</v>
      </c>
      <c r="H11" s="69" t="s">
        <v>268</v>
      </c>
      <c r="I11" s="48"/>
      <c r="J11" s="48"/>
      <c r="K11" s="48"/>
      <c r="L11" s="48"/>
    </row>
    <row r="12" spans="2:12">
      <c r="I12" s="65"/>
    </row>
    <row r="13" spans="2:12" ht="15.6">
      <c r="B13" s="10"/>
      <c r="C13" s="11"/>
      <c r="D13" s="11"/>
      <c r="E13" s="10"/>
      <c r="F13" s="11"/>
      <c r="G13" s="10"/>
    </row>
    <row r="14" spans="2:12" ht="15.6">
      <c r="B14" s="11"/>
      <c r="C14" s="11"/>
      <c r="D14" s="11"/>
      <c r="E14" s="10"/>
      <c r="F14" s="11"/>
      <c r="G14" s="11"/>
    </row>
    <row r="15" spans="2:12" ht="15.6">
      <c r="B15" s="10"/>
      <c r="C15" s="11"/>
      <c r="D15" s="11"/>
      <c r="E15" s="10"/>
      <c r="F15" s="11"/>
      <c r="G15" s="10"/>
    </row>
    <row r="16" spans="2:12" ht="15.6">
      <c r="B16" s="10"/>
      <c r="C16" s="11"/>
      <c r="D16" s="11"/>
      <c r="E16" s="10"/>
      <c r="F16" s="11"/>
      <c r="G16" s="10"/>
    </row>
    <row r="17" spans="2:7" ht="15.6">
      <c r="B17" s="10"/>
      <c r="C17" s="11"/>
      <c r="D17" s="11"/>
      <c r="E17" s="10"/>
      <c r="F17" s="11"/>
      <c r="G17" s="10"/>
    </row>
    <row r="18" spans="2:7" ht="15.6">
      <c r="B18" s="11"/>
      <c r="C18" s="11"/>
      <c r="D18" s="11"/>
      <c r="E18" s="11"/>
      <c r="F18" s="11"/>
      <c r="G18" s="11"/>
    </row>
    <row r="19" spans="2:7" ht="15.6">
      <c r="B19" s="11"/>
      <c r="C19" s="11"/>
      <c r="D19" s="11"/>
      <c r="E19" s="11"/>
      <c r="F19" s="11"/>
      <c r="G19" s="11"/>
    </row>
  </sheetData>
  <mergeCells count="8">
    <mergeCell ref="B8:H8"/>
    <mergeCell ref="B4:H4"/>
    <mergeCell ref="B6:H6"/>
    <mergeCell ref="D1:G2"/>
    <mergeCell ref="H1:H2"/>
    <mergeCell ref="B1:C1"/>
    <mergeCell ref="B2:C2"/>
    <mergeCell ref="B3:L3"/>
  </mergeCells>
  <pageMargins left="0.7" right="0.7" top="0.75" bottom="0.75" header="0.3" footer="0.3"/>
  <pageSetup scale="44" fitToWidth="2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18"/>
  <sheetViews>
    <sheetView zoomScale="85" zoomScaleNormal="85" zoomScaleSheetLayoutView="73" workbookViewId="0">
      <selection activeCell="C28" sqref="C28"/>
    </sheetView>
  </sheetViews>
  <sheetFormatPr baseColWidth="10" defaultColWidth="11.44140625" defaultRowHeight="14.4"/>
  <cols>
    <col min="1" max="1" width="1.5546875" style="7" customWidth="1"/>
    <col min="2" max="2" width="16.33203125" style="7" customWidth="1"/>
    <col min="3" max="3" width="31.88671875" style="7" customWidth="1"/>
    <col min="4" max="4" width="51.6640625" style="7" customWidth="1"/>
    <col min="5" max="7" width="29.6640625" style="7" customWidth="1"/>
    <col min="8" max="8" width="21.109375" style="7" customWidth="1"/>
    <col min="9" max="9" width="19" style="7" customWidth="1"/>
    <col min="10" max="10" width="27.5546875" style="7" customWidth="1"/>
    <col min="11" max="11" width="26" style="7" customWidth="1"/>
    <col min="12" max="12" width="32" style="7" customWidth="1"/>
    <col min="13" max="13" width="22.5546875" style="7" customWidth="1"/>
    <col min="14" max="14" width="25" style="7" customWidth="1"/>
    <col min="15" max="16384" width="11.44140625" style="7"/>
  </cols>
  <sheetData>
    <row r="1" spans="2:14" ht="30" customHeight="1">
      <c r="B1" s="82" t="s">
        <v>243</v>
      </c>
      <c r="C1" s="83"/>
      <c r="D1" s="73" t="s">
        <v>259</v>
      </c>
      <c r="E1" s="74"/>
      <c r="F1" s="74"/>
      <c r="G1" s="74"/>
      <c r="H1" s="74"/>
      <c r="I1" s="74"/>
      <c r="J1" s="74"/>
      <c r="K1" s="74"/>
      <c r="L1" s="74"/>
      <c r="M1" s="87"/>
      <c r="N1" s="91"/>
    </row>
    <row r="2" spans="2:14" ht="46.5" customHeight="1">
      <c r="B2" s="82" t="s">
        <v>260</v>
      </c>
      <c r="C2" s="83"/>
      <c r="D2" s="75"/>
      <c r="E2" s="76"/>
      <c r="F2" s="76"/>
      <c r="G2" s="76"/>
      <c r="H2" s="76"/>
      <c r="I2" s="76"/>
      <c r="J2" s="76"/>
      <c r="K2" s="76"/>
      <c r="L2" s="76"/>
      <c r="M2" s="88"/>
      <c r="N2" s="92"/>
    </row>
    <row r="3" spans="2:14" ht="9.75" customHeight="1"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</row>
    <row r="4" spans="2:14" ht="15.75" customHeight="1">
      <c r="B4" s="78" t="s">
        <v>0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</row>
    <row r="5" spans="2:14" ht="6.75" customHeight="1"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2:14" ht="24" customHeight="1">
      <c r="B6" s="81" t="s">
        <v>258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</row>
    <row r="7" spans="2:14" ht="12.75" customHeight="1"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</row>
    <row r="8" spans="2:14" s="28" customFormat="1" ht="15.75" customHeight="1">
      <c r="B8" s="84" t="s">
        <v>24</v>
      </c>
      <c r="C8" s="85"/>
      <c r="D8" s="85"/>
      <c r="E8" s="85"/>
      <c r="F8" s="85"/>
      <c r="G8" s="85"/>
      <c r="H8" s="85"/>
      <c r="I8" s="85"/>
      <c r="J8" s="86"/>
      <c r="K8" s="79" t="s">
        <v>25</v>
      </c>
      <c r="L8" s="80"/>
      <c r="M8" s="84" t="s">
        <v>26</v>
      </c>
      <c r="N8" s="86"/>
    </row>
    <row r="9" spans="2:14" s="23" customFormat="1" ht="46.8">
      <c r="B9" s="21" t="s">
        <v>2</v>
      </c>
      <c r="C9" s="24" t="s">
        <v>27</v>
      </c>
      <c r="D9" s="24" t="s">
        <v>28</v>
      </c>
      <c r="E9" s="24" t="s">
        <v>29</v>
      </c>
      <c r="F9" s="26" t="s">
        <v>30</v>
      </c>
      <c r="G9" s="26" t="s">
        <v>31</v>
      </c>
      <c r="H9" s="26" t="s">
        <v>32</v>
      </c>
      <c r="I9" s="26" t="s">
        <v>33</v>
      </c>
      <c r="J9" s="26" t="s">
        <v>255</v>
      </c>
      <c r="K9" s="26" t="s">
        <v>35</v>
      </c>
      <c r="L9" s="26" t="s">
        <v>253</v>
      </c>
      <c r="M9" s="26" t="s">
        <v>245</v>
      </c>
      <c r="N9" s="22" t="s">
        <v>21</v>
      </c>
    </row>
    <row r="10" spans="2:14" s="5" customFormat="1" ht="126.75" customHeight="1">
      <c r="B10" s="20"/>
      <c r="C10" s="8"/>
      <c r="D10" s="8"/>
      <c r="E10" s="8"/>
      <c r="F10" s="8"/>
      <c r="G10" s="8"/>
      <c r="H10" s="9"/>
      <c r="I10" s="9"/>
      <c r="J10" s="8"/>
      <c r="K10" s="8"/>
      <c r="L10" s="8"/>
      <c r="M10" s="8"/>
      <c r="N10" s="8"/>
    </row>
    <row r="12" spans="2:14" ht="15.6">
      <c r="B12" s="10"/>
      <c r="C12" s="11"/>
      <c r="D12" s="10"/>
      <c r="E12" s="11"/>
      <c r="F12" s="11"/>
      <c r="G12" s="10"/>
    </row>
    <row r="13" spans="2:14" ht="15.6">
      <c r="B13" s="11"/>
      <c r="C13" s="11"/>
      <c r="D13" s="11"/>
      <c r="E13" s="11"/>
      <c r="F13" s="11"/>
      <c r="G13" s="11"/>
    </row>
    <row r="14" spans="2:14" ht="15.6">
      <c r="B14" s="10"/>
      <c r="C14" s="11"/>
      <c r="D14" s="10"/>
      <c r="E14" s="11"/>
      <c r="F14" s="11"/>
      <c r="G14" s="10"/>
    </row>
    <row r="15" spans="2:14" ht="15.6">
      <c r="B15" s="10"/>
      <c r="C15" s="11"/>
      <c r="D15" s="10"/>
      <c r="E15" s="11"/>
      <c r="F15" s="11"/>
      <c r="G15" s="10"/>
    </row>
    <row r="16" spans="2:14" ht="15.6">
      <c r="B16" s="10"/>
      <c r="C16" s="11"/>
      <c r="D16" s="10"/>
      <c r="E16" s="11"/>
      <c r="F16" s="11"/>
      <c r="G16" s="10"/>
    </row>
    <row r="17" spans="2:7" ht="15.6">
      <c r="B17" s="11"/>
      <c r="C17" s="11"/>
      <c r="D17" s="11"/>
      <c r="E17" s="11"/>
      <c r="F17" s="11"/>
      <c r="G17" s="11"/>
    </row>
    <row r="18" spans="2:7" ht="15.6">
      <c r="B18" s="11"/>
      <c r="C18" s="11"/>
      <c r="D18" s="11"/>
      <c r="E18" s="11"/>
      <c r="F18" s="11"/>
      <c r="G18" s="11"/>
    </row>
  </sheetData>
  <mergeCells count="13">
    <mergeCell ref="N1:N2"/>
    <mergeCell ref="D1:M2"/>
    <mergeCell ref="K8:L8"/>
    <mergeCell ref="M8:N8"/>
    <mergeCell ref="B1:C1"/>
    <mergeCell ref="B2:C2"/>
    <mergeCell ref="B3:L3"/>
    <mergeCell ref="B8:J8"/>
    <mergeCell ref="M3:N3"/>
    <mergeCell ref="B4:L4"/>
    <mergeCell ref="M4:N4"/>
    <mergeCell ref="B6:L6"/>
    <mergeCell ref="M6:N6"/>
  </mergeCells>
  <pageMargins left="0.7" right="0.7" top="0.75" bottom="0.75" header="0.3" footer="0.3"/>
  <pageSetup scale="30" fitToWidth="2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300-000000000000}">
          <x14:formula1>
            <xm:f>xx_Listas!$O$3:$O$4</xm:f>
          </x14:formula1>
          <xm:sqref>K10</xm:sqref>
        </x14:dataValidation>
        <x14:dataValidation type="list" allowBlank="1" showInputMessage="1" showErrorMessage="1" xr:uid="{00000000-0002-0000-0300-000001000000}">
          <x14:formula1>
            <xm:f>xx_Listas!$M$2:$M$4</xm:f>
          </x14:formula1>
          <xm:sqref>C10</xm:sqref>
        </x14:dataValidation>
        <x14:dataValidation type="list" allowBlank="1" showInputMessage="1" showErrorMessage="1" prompt="En la hoja Categorías MinTic encontrará una descripción de cada una de estas. " xr:uid="{00000000-0002-0000-0300-000003000000}">
          <x14:formula1>
            <xm:f>Categorias_MinTic!$C$2:$C$28</xm:f>
          </x14:formula1>
          <xm:sqref>F10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0"/>
  <sheetViews>
    <sheetView topLeftCell="B1" workbookViewId="0">
      <selection activeCell="D4" sqref="D4"/>
    </sheetView>
  </sheetViews>
  <sheetFormatPr baseColWidth="10" defaultColWidth="12.5546875" defaultRowHeight="14.4"/>
  <cols>
    <col min="1" max="1" width="67.33203125" bestFit="1" customWidth="1"/>
    <col min="3" max="3" width="17.44140625" bestFit="1" customWidth="1"/>
    <col min="5" max="5" width="15.6640625" customWidth="1"/>
    <col min="9" max="9" width="17.33203125" bestFit="1" customWidth="1"/>
    <col min="11" max="11" width="17.33203125" bestFit="1" customWidth="1"/>
    <col min="13" max="13" width="17.33203125" bestFit="1" customWidth="1"/>
    <col min="15" max="15" width="15.44140625" bestFit="1" customWidth="1"/>
  </cols>
  <sheetData>
    <row r="1" spans="1:15">
      <c r="A1" s="1" t="s">
        <v>10</v>
      </c>
      <c r="C1" s="1" t="s">
        <v>38</v>
      </c>
      <c r="E1" s="1" t="s">
        <v>39</v>
      </c>
      <c r="G1" s="1" t="s">
        <v>40</v>
      </c>
      <c r="I1" s="1" t="s">
        <v>41</v>
      </c>
      <c r="K1" s="1" t="s">
        <v>42</v>
      </c>
      <c r="M1" s="1" t="s">
        <v>43</v>
      </c>
      <c r="O1" s="1" t="s">
        <v>44</v>
      </c>
    </row>
    <row r="2" spans="1:15">
      <c r="A2" t="s">
        <v>12</v>
      </c>
      <c r="C2" t="s">
        <v>12</v>
      </c>
      <c r="E2" t="s">
        <v>12</v>
      </c>
      <c r="G2" t="s">
        <v>12</v>
      </c>
      <c r="I2" t="s">
        <v>12</v>
      </c>
      <c r="K2" t="s">
        <v>12</v>
      </c>
      <c r="M2" t="s">
        <v>12</v>
      </c>
      <c r="O2" t="s">
        <v>12</v>
      </c>
    </row>
    <row r="3" spans="1:15">
      <c r="A3" t="s">
        <v>45</v>
      </c>
      <c r="C3" t="s">
        <v>46</v>
      </c>
      <c r="E3" t="s">
        <v>47</v>
      </c>
      <c r="G3" t="s">
        <v>47</v>
      </c>
      <c r="I3" t="s">
        <v>48</v>
      </c>
      <c r="K3" t="s">
        <v>49</v>
      </c>
      <c r="M3" t="s">
        <v>50</v>
      </c>
      <c r="O3" t="s">
        <v>51</v>
      </c>
    </row>
    <row r="4" spans="1:15">
      <c r="A4" t="s">
        <v>52</v>
      </c>
      <c r="C4" t="s">
        <v>53</v>
      </c>
      <c r="E4" t="s">
        <v>2</v>
      </c>
      <c r="G4" t="s">
        <v>2</v>
      </c>
      <c r="I4" t="s">
        <v>54</v>
      </c>
      <c r="M4" t="s">
        <v>54</v>
      </c>
      <c r="O4" t="s">
        <v>55</v>
      </c>
    </row>
    <row r="5" spans="1:15">
      <c r="A5" t="s">
        <v>56</v>
      </c>
      <c r="G5" t="s">
        <v>57</v>
      </c>
      <c r="I5" t="s">
        <v>58</v>
      </c>
    </row>
    <row r="6" spans="1:15">
      <c r="A6" t="s">
        <v>59</v>
      </c>
    </row>
    <row r="7" spans="1:15">
      <c r="A7" t="s">
        <v>60</v>
      </c>
    </row>
    <row r="8" spans="1:15">
      <c r="A8" t="s">
        <v>61</v>
      </c>
    </row>
    <row r="9" spans="1:15">
      <c r="A9" t="s">
        <v>62</v>
      </c>
    </row>
    <row r="10" spans="1:15">
      <c r="A10" t="s">
        <v>63</v>
      </c>
    </row>
    <row r="11" spans="1:15">
      <c r="A11" t="s">
        <v>64</v>
      </c>
    </row>
    <row r="12" spans="1:15">
      <c r="A12" t="s">
        <v>65</v>
      </c>
    </row>
    <row r="13" spans="1:15">
      <c r="A13" t="s">
        <v>66</v>
      </c>
    </row>
    <row r="14" spans="1:15">
      <c r="A14" t="s">
        <v>67</v>
      </c>
    </row>
    <row r="15" spans="1:15">
      <c r="A15" t="s">
        <v>68</v>
      </c>
    </row>
    <row r="16" spans="1:15">
      <c r="A16" t="s">
        <v>69</v>
      </c>
    </row>
    <row r="17" spans="1:1">
      <c r="A17" t="s">
        <v>70</v>
      </c>
    </row>
    <row r="18" spans="1:1">
      <c r="A18" t="s">
        <v>71</v>
      </c>
    </row>
    <row r="19" spans="1:1">
      <c r="A19" t="s">
        <v>72</v>
      </c>
    </row>
    <row r="20" spans="1:1">
      <c r="A20" t="s">
        <v>73</v>
      </c>
    </row>
    <row r="21" spans="1:1">
      <c r="A21" t="s">
        <v>74</v>
      </c>
    </row>
    <row r="22" spans="1:1">
      <c r="A22" t="s">
        <v>75</v>
      </c>
    </row>
    <row r="23" spans="1:1">
      <c r="A23" t="s">
        <v>76</v>
      </c>
    </row>
    <row r="24" spans="1:1">
      <c r="A24" t="s">
        <v>77</v>
      </c>
    </row>
    <row r="25" spans="1:1">
      <c r="A25" t="s">
        <v>78</v>
      </c>
    </row>
    <row r="26" spans="1:1">
      <c r="A26" t="s">
        <v>79</v>
      </c>
    </row>
    <row r="27" spans="1:1">
      <c r="A27" t="s">
        <v>80</v>
      </c>
    </row>
    <row r="28" spans="1:1">
      <c r="A28" t="s">
        <v>81</v>
      </c>
    </row>
    <row r="29" spans="1:1">
      <c r="A29" t="s">
        <v>82</v>
      </c>
    </row>
    <row r="30" spans="1:1">
      <c r="A30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561"/>
  <sheetViews>
    <sheetView workbookViewId="0">
      <selection activeCell="C11" sqref="C11"/>
    </sheetView>
  </sheetViews>
  <sheetFormatPr baseColWidth="10" defaultColWidth="11.44140625" defaultRowHeight="14.4"/>
  <cols>
    <col min="1" max="1" width="3.5546875" customWidth="1"/>
    <col min="2" max="2" width="13.6640625" customWidth="1"/>
    <col min="3" max="3" width="35.109375" customWidth="1"/>
    <col min="4" max="4" width="72.44140625" customWidth="1"/>
    <col min="6" max="41" width="11.44140625" style="12"/>
  </cols>
  <sheetData>
    <row r="1" spans="1:5" ht="6.75" customHeight="1">
      <c r="A1" s="12"/>
      <c r="B1" s="77"/>
      <c r="C1" s="77"/>
      <c r="D1" s="77"/>
      <c r="E1" s="12"/>
    </row>
    <row r="2" spans="1:5" ht="21" customHeight="1">
      <c r="A2" s="12"/>
      <c r="B2" s="93" t="s">
        <v>0</v>
      </c>
      <c r="C2" s="94"/>
      <c r="D2" s="95"/>
      <c r="E2" s="12"/>
    </row>
    <row r="3" spans="1:5" ht="6.75" customHeight="1">
      <c r="A3" s="12"/>
      <c r="B3" s="45"/>
      <c r="C3" s="45"/>
      <c r="D3" s="45"/>
      <c r="E3" s="12"/>
    </row>
    <row r="4" spans="1:5" ht="38.25" customHeight="1">
      <c r="A4" s="12"/>
      <c r="B4" s="96" t="s">
        <v>84</v>
      </c>
      <c r="C4" s="97"/>
      <c r="D4" s="98"/>
      <c r="E4" s="12"/>
    </row>
    <row r="5" spans="1:5" ht="15" thickBot="1">
      <c r="A5" s="12"/>
      <c r="B5" s="12"/>
      <c r="C5" s="12"/>
      <c r="D5" s="12"/>
      <c r="E5" s="12"/>
    </row>
    <row r="6" spans="1:5" ht="64.5" customHeight="1" thickBot="1">
      <c r="A6" s="12"/>
      <c r="B6" s="99" t="s">
        <v>85</v>
      </c>
      <c r="C6" s="100"/>
      <c r="D6" s="13" t="s">
        <v>86</v>
      </c>
      <c r="E6" s="12"/>
    </row>
    <row r="7" spans="1:5">
      <c r="A7" s="12"/>
      <c r="B7" s="14"/>
      <c r="C7" s="14"/>
      <c r="D7" s="14"/>
      <c r="E7" s="12"/>
    </row>
    <row r="8" spans="1:5" ht="34.5" customHeight="1">
      <c r="A8" s="12"/>
      <c r="B8" s="101" t="s">
        <v>87</v>
      </c>
      <c r="C8" s="101"/>
      <c r="D8" s="101"/>
      <c r="E8" s="12"/>
    </row>
    <row r="9" spans="1:5">
      <c r="A9" s="12"/>
      <c r="B9" s="12"/>
      <c r="C9" s="12"/>
      <c r="D9" s="12"/>
      <c r="E9" s="12"/>
    </row>
    <row r="10" spans="1:5" ht="75" customHeight="1">
      <c r="A10" s="12"/>
      <c r="B10" s="13">
        <v>1</v>
      </c>
      <c r="C10" s="44" t="str">
        <f>VLOOKUP($D$6,Tabla1[],2,0)</f>
        <v>No</v>
      </c>
      <c r="D10" s="49" t="str">
        <f>VLOOKUP($D$6,Tabla1[],15,0)</f>
        <v>Número consecutivo para el conjuntos de datos (capa geográfica o tabla).</v>
      </c>
      <c r="E10" s="12"/>
    </row>
    <row r="11" spans="1:5" ht="75" customHeight="1">
      <c r="A11" s="12"/>
      <c r="B11" s="13">
        <v>2</v>
      </c>
      <c r="C11" s="44" t="str">
        <f>VLOOKUP($D$6,Tabla1[],3,0)</f>
        <v xml:space="preserve">Fecha 
de elaboración 
</v>
      </c>
      <c r="D11" s="49" t="str">
        <f>VLOOKUP($D$6,Tabla1[],16,0)</f>
        <v>Escriba la fecha de elaboración de la solicitud (dd/mm/año).</v>
      </c>
      <c r="E11" s="12"/>
    </row>
    <row r="12" spans="1:5" ht="75" customHeight="1">
      <c r="A12" s="12"/>
      <c r="B12" s="13">
        <v>3</v>
      </c>
      <c r="C12" s="44" t="str">
        <f>VLOOKUP($D$6,Tabla1[],4,0)</f>
        <v xml:space="preserve">Nombre
Capa Geográfica o Tabla </v>
      </c>
      <c r="D12" s="49" t="str">
        <f>VLOOKUP($D$6,Tabla1[],17,0)</f>
        <v xml:space="preserve">Escriba el nombre de la capa geográfica o tabla que hace parte de la solicitud.  </v>
      </c>
      <c r="E12" s="12"/>
    </row>
    <row r="13" spans="1:5" ht="75" customHeight="1">
      <c r="A13" s="12"/>
      <c r="B13" s="13">
        <v>4</v>
      </c>
      <c r="C13" s="44" t="str">
        <f>VLOOKUP($D$6,Tabla1[],5,0)</f>
        <v>GDB  Corporativa</v>
      </c>
      <c r="D13" s="49" t="str">
        <f>VLOOKUP($D$6,Tabla1[],18,0)</f>
        <v>Si desea cargar, modificar o eliminar información de la GDB Corporativa seleccione Si  y diligencie el formato de la pestaña FSolicitud_GDB, en caso contrario seleccione No.</v>
      </c>
      <c r="E13" s="12"/>
    </row>
    <row r="14" spans="1:5" ht="75" customHeight="1">
      <c r="A14" s="12"/>
      <c r="B14" s="13">
        <v>5</v>
      </c>
      <c r="C14" s="44" t="str">
        <f>VLOOKUP($D$6,Tabla1[],6,0)</f>
        <v>Dato Abierto</v>
      </c>
      <c r="D14" s="49" t="str">
        <f>VLOOKUP($D$6,Tabla1[],19,0)</f>
        <v>Si desea disponer un conjunto de datos como un Dato Abierto seleccione Si y diligencie el formato de la pestaña FSolicitud_Dato_Abierto, en caso contrario seleccione No.</v>
      </c>
      <c r="E14" s="12"/>
    </row>
    <row r="15" spans="1:5" ht="75" customHeight="1">
      <c r="A15" s="12"/>
      <c r="B15" s="13">
        <v>6</v>
      </c>
      <c r="C15" s="44" t="str">
        <f>VLOOKUP($D$6,Tabla1[],7,0)</f>
        <v>Servicio de Mapa</v>
      </c>
      <c r="D15" s="49" t="str">
        <f>VLOOKUP($D$6,Tabla1[],20,0)</f>
        <v>Si desea crear o modificar un Servicio de Mapa seleccione Si  y  diligencie el formato de la pestaña FSolicitud_Servicio_Mapa, en caso contrario seleccione No.</v>
      </c>
      <c r="E15" s="12"/>
    </row>
    <row r="16" spans="1:5" ht="90" customHeight="1">
      <c r="A16" s="12"/>
      <c r="B16" s="13">
        <v>7</v>
      </c>
      <c r="C16" s="44" t="str">
        <f>VLOOKUP($D$6,Tabla1[],8,0)</f>
        <v>Observaciones</v>
      </c>
      <c r="D16" s="41" t="str">
        <f>VLOOKUP($D$6,Tabla1[],21,0)</f>
        <v>Escriba las observaciones que considere son necesarias para esta solicitud.</v>
      </c>
      <c r="E16" s="12"/>
    </row>
    <row r="17" spans="1:5" ht="90" customHeight="1">
      <c r="B17" s="13">
        <v>8</v>
      </c>
      <c r="C17" s="44" t="str">
        <f>VLOOKUP($D$6,Tabla1[],9,0)</f>
        <v>Nombre</v>
      </c>
      <c r="D17" s="49"/>
      <c r="E17" s="12"/>
    </row>
    <row r="18" spans="1:5" ht="90" customHeight="1">
      <c r="B18" s="13">
        <v>9</v>
      </c>
      <c r="C18" s="44" t="str">
        <f>VLOOKUP($D$6,Tabla1[],10,0)</f>
        <v>Cargo</v>
      </c>
      <c r="D18" s="41" t="str">
        <f>VLOOKUP($D$6,Tabla1[],23,0)</f>
        <v xml:space="preserve">Seleccione de la lista desplegable, el cargo del solicitante. </v>
      </c>
      <c r="E18" s="12"/>
    </row>
    <row r="19" spans="1:5" ht="90" customHeight="1">
      <c r="B19" s="13">
        <v>10</v>
      </c>
      <c r="C19" s="44" t="str">
        <f>VLOOKUP($D$6,Tabla1[],11,0)</f>
        <v>Dependencia</v>
      </c>
      <c r="D19" s="41" t="str">
        <f>VLOOKUP($D$6,Tabla1[],24,0)</f>
        <v xml:space="preserve">Seleccione de la lista desplegable, el nombre de la dependencia responsable de la solicitud. </v>
      </c>
      <c r="E19" s="12"/>
    </row>
    <row r="20" spans="1:5" ht="90" customHeight="1">
      <c r="B20" s="13">
        <v>11</v>
      </c>
      <c r="C20" s="44" t="str">
        <f>VLOOKUP($D$6,Tabla1[],12,0)</f>
        <v xml:space="preserve">Correo de  Contacto </v>
      </c>
      <c r="D20" s="49" t="str">
        <f>VLOOKUP($D$6,Tabla1[],25,0)</f>
        <v>Escriba el correo electrónico del líder (programa o proyecto) responsable de la solicitud.</v>
      </c>
      <c r="E20" s="12"/>
    </row>
    <row r="21" spans="1:5" ht="90" customHeight="1">
      <c r="B21" s="13">
        <v>12</v>
      </c>
      <c r="C21" s="44" t="str">
        <f>VLOOKUP($D$6,Tabla1[],13,0)</f>
        <v>N/A</v>
      </c>
      <c r="D21" s="49" t="str">
        <f>VLOOKUP($D$6,Tabla1[],26,0)</f>
        <v>N/A</v>
      </c>
      <c r="E21" s="12"/>
    </row>
    <row r="22" spans="1:5" ht="90" customHeight="1">
      <c r="B22" s="13">
        <v>13</v>
      </c>
      <c r="C22" s="44" t="str">
        <f>VLOOKUP($D$6,Tabla1[],14,0)</f>
        <v>N/A</v>
      </c>
      <c r="D22" s="49" t="str">
        <f>VLOOKUP($D$6,Tabla1[],27,0)</f>
        <v>N/A</v>
      </c>
      <c r="E22" s="12"/>
    </row>
    <row r="23" spans="1:5">
      <c r="A23" s="12"/>
      <c r="B23" s="12"/>
      <c r="C23" s="12"/>
      <c r="D23" s="12"/>
      <c r="E23" s="12"/>
    </row>
    <row r="24" spans="1:5">
      <c r="A24" s="12"/>
      <c r="B24" s="12"/>
      <c r="C24" s="12"/>
      <c r="D24" s="12"/>
      <c r="E24" s="12"/>
    </row>
    <row r="25" spans="1:5">
      <c r="A25" s="12"/>
      <c r="B25" s="12"/>
      <c r="C25" s="12"/>
      <c r="D25" s="12"/>
      <c r="E25" s="12"/>
    </row>
    <row r="26" spans="1:5">
      <c r="A26" s="12"/>
      <c r="B26" s="12"/>
      <c r="C26" s="12"/>
      <c r="D26" s="12"/>
      <c r="E26" s="12"/>
    </row>
    <row r="27" spans="1:5">
      <c r="A27" s="12"/>
      <c r="B27" s="12"/>
      <c r="C27" s="12"/>
      <c r="D27" s="12"/>
      <c r="E27" s="12"/>
    </row>
    <row r="28" spans="1:5">
      <c r="A28" s="12"/>
      <c r="B28" s="12"/>
      <c r="C28" s="12"/>
      <c r="D28" s="12"/>
      <c r="E28" s="12"/>
    </row>
    <row r="29" spans="1:5">
      <c r="A29" s="12"/>
      <c r="B29" s="12"/>
      <c r="C29" s="12"/>
      <c r="D29" s="12"/>
      <c r="E29" s="12"/>
    </row>
    <row r="30" spans="1:5">
      <c r="A30" s="12"/>
      <c r="B30" s="12"/>
      <c r="C30" s="12"/>
      <c r="D30" s="12"/>
      <c r="E30" s="12"/>
    </row>
    <row r="31" spans="1:5">
      <c r="A31" s="12"/>
      <c r="B31" s="12"/>
      <c r="C31" s="12"/>
      <c r="D31" s="12"/>
      <c r="E31" s="12"/>
    </row>
    <row r="32" spans="1:5">
      <c r="A32" s="12"/>
      <c r="B32" s="12"/>
      <c r="C32" s="12"/>
      <c r="D32" s="12"/>
      <c r="E32" s="12"/>
    </row>
    <row r="33" spans="1:5">
      <c r="A33" s="12"/>
      <c r="B33" s="12"/>
      <c r="C33" s="12"/>
      <c r="D33" s="12"/>
      <c r="E33" s="12"/>
    </row>
    <row r="34" spans="1:5">
      <c r="A34" s="12"/>
      <c r="B34" s="12"/>
      <c r="C34" s="12"/>
      <c r="D34" s="12"/>
      <c r="E34" s="12"/>
    </row>
    <row r="35" spans="1:5">
      <c r="A35" s="12"/>
      <c r="B35" s="12"/>
      <c r="C35" s="12"/>
      <c r="D35" s="12"/>
      <c r="E35" s="12"/>
    </row>
    <row r="36" spans="1:5">
      <c r="A36" s="12"/>
      <c r="B36" s="12"/>
      <c r="C36" s="12"/>
      <c r="D36" s="12"/>
      <c r="E36" s="12"/>
    </row>
    <row r="37" spans="1:5">
      <c r="A37" s="12"/>
      <c r="B37" s="12"/>
      <c r="C37" s="12"/>
      <c r="D37" s="12"/>
      <c r="E37" s="12"/>
    </row>
    <row r="38" spans="1:5">
      <c r="A38" s="12"/>
      <c r="B38" s="12"/>
      <c r="C38" s="12"/>
      <c r="D38" s="12"/>
      <c r="E38" s="12"/>
    </row>
    <row r="39" spans="1:5">
      <c r="A39" s="12"/>
      <c r="B39" s="12"/>
      <c r="C39" s="12"/>
      <c r="D39" s="12"/>
      <c r="E39" s="12"/>
    </row>
    <row r="40" spans="1:5">
      <c r="A40" s="12"/>
      <c r="B40" s="12"/>
      <c r="C40" s="12"/>
      <c r="D40" s="12"/>
      <c r="E40" s="12"/>
    </row>
    <row r="41" spans="1:5">
      <c r="A41" s="12"/>
      <c r="B41" s="12"/>
      <c r="C41" s="12"/>
      <c r="D41" s="12"/>
      <c r="E41" s="12"/>
    </row>
    <row r="42" spans="1:5">
      <c r="A42" s="12"/>
      <c r="B42" s="12"/>
      <c r="C42" s="12"/>
      <c r="D42" s="12"/>
      <c r="E42" s="12"/>
    </row>
    <row r="43" spans="1:5">
      <c r="A43" s="12"/>
      <c r="B43" s="12"/>
      <c r="C43" s="12"/>
      <c r="D43" s="12"/>
      <c r="E43" s="12"/>
    </row>
    <row r="44" spans="1:5">
      <c r="A44" s="12"/>
      <c r="B44" s="12"/>
      <c r="C44" s="12"/>
      <c r="D44" s="12"/>
      <c r="E44" s="12"/>
    </row>
    <row r="45" spans="1:5">
      <c r="A45" s="12"/>
      <c r="B45" s="12"/>
      <c r="C45" s="12"/>
      <c r="D45" s="12"/>
      <c r="E45" s="12"/>
    </row>
    <row r="46" spans="1:5">
      <c r="A46" s="12"/>
      <c r="B46" s="12"/>
      <c r="C46" s="12"/>
      <c r="D46" s="12"/>
      <c r="E46" s="12"/>
    </row>
    <row r="47" spans="1:5">
      <c r="A47" s="12"/>
      <c r="B47" s="12"/>
      <c r="C47" s="12"/>
      <c r="D47" s="12"/>
      <c r="E47" s="12"/>
    </row>
    <row r="48" spans="1:5">
      <c r="A48" s="12"/>
      <c r="B48" s="12"/>
      <c r="C48" s="12"/>
      <c r="D48" s="12"/>
      <c r="E48" s="12"/>
    </row>
    <row r="49" spans="1:5">
      <c r="A49" s="12"/>
      <c r="B49" s="12"/>
      <c r="C49" s="12"/>
      <c r="D49" s="12"/>
      <c r="E49" s="12"/>
    </row>
    <row r="50" spans="1:5">
      <c r="A50" s="12"/>
      <c r="B50" s="12"/>
      <c r="C50" s="12"/>
      <c r="D50" s="12"/>
      <c r="E50" s="12"/>
    </row>
    <row r="51" spans="1:5">
      <c r="A51" s="12"/>
      <c r="B51" s="12"/>
      <c r="C51" s="12"/>
      <c r="D51" s="12"/>
      <c r="E51" s="12"/>
    </row>
    <row r="52" spans="1:5">
      <c r="A52" s="12"/>
      <c r="B52" s="12"/>
      <c r="C52" s="12"/>
      <c r="D52" s="12"/>
      <c r="E52" s="12"/>
    </row>
    <row r="53" spans="1:5">
      <c r="A53" s="12"/>
      <c r="B53" s="12"/>
      <c r="C53" s="12"/>
      <c r="D53" s="12"/>
      <c r="E53" s="12"/>
    </row>
    <row r="54" spans="1:5">
      <c r="A54" s="12"/>
      <c r="B54" s="12"/>
      <c r="C54" s="12"/>
      <c r="D54" s="12"/>
      <c r="E54" s="12"/>
    </row>
    <row r="55" spans="1:5">
      <c r="A55" s="12"/>
      <c r="B55" s="12"/>
      <c r="C55" s="12"/>
      <c r="D55" s="12"/>
      <c r="E55" s="12"/>
    </row>
    <row r="56" spans="1:5">
      <c r="A56" s="12"/>
      <c r="B56" s="12"/>
      <c r="C56" s="12"/>
      <c r="D56" s="12"/>
      <c r="E56" s="12"/>
    </row>
    <row r="57" spans="1:5">
      <c r="A57" s="12"/>
      <c r="B57" s="12"/>
      <c r="C57" s="12"/>
      <c r="D57" s="12"/>
      <c r="E57" s="12"/>
    </row>
    <row r="58" spans="1:5">
      <c r="A58" s="12"/>
      <c r="B58" s="12"/>
      <c r="C58" s="12"/>
      <c r="D58" s="12"/>
      <c r="E58" s="12"/>
    </row>
    <row r="59" spans="1:5">
      <c r="A59" s="12"/>
      <c r="B59" s="12"/>
      <c r="C59" s="12"/>
      <c r="D59" s="12"/>
      <c r="E59" s="12"/>
    </row>
    <row r="60" spans="1:5">
      <c r="A60" s="12"/>
      <c r="B60" s="12"/>
      <c r="C60" s="12"/>
      <c r="D60" s="12"/>
      <c r="E60" s="12"/>
    </row>
    <row r="61" spans="1:5">
      <c r="A61" s="12"/>
      <c r="B61" s="12"/>
      <c r="C61" s="12"/>
      <c r="D61" s="12"/>
      <c r="E61" s="12"/>
    </row>
    <row r="62" spans="1:5">
      <c r="A62" s="12"/>
      <c r="B62" s="12"/>
      <c r="C62" s="12"/>
      <c r="D62" s="12"/>
      <c r="E62" s="12"/>
    </row>
    <row r="63" spans="1:5">
      <c r="A63" s="12"/>
      <c r="B63" s="12"/>
      <c r="C63" s="12"/>
      <c r="D63" s="12"/>
      <c r="E63" s="12"/>
    </row>
    <row r="64" spans="1:5">
      <c r="A64" s="12"/>
      <c r="B64" s="12"/>
      <c r="C64" s="12"/>
      <c r="D64" s="12"/>
      <c r="E64" s="12"/>
    </row>
    <row r="65" spans="1:5">
      <c r="A65" s="12"/>
      <c r="B65" s="12"/>
      <c r="C65" s="12"/>
      <c r="D65" s="12"/>
      <c r="E65" s="12"/>
    </row>
    <row r="66" spans="1:5">
      <c r="A66" s="12"/>
      <c r="B66" s="12"/>
      <c r="C66" s="12"/>
      <c r="D66" s="12"/>
      <c r="E66" s="12"/>
    </row>
    <row r="67" spans="1:5">
      <c r="A67" s="12"/>
      <c r="B67" s="12"/>
      <c r="C67" s="12"/>
      <c r="D67" s="12"/>
      <c r="E67" s="12"/>
    </row>
    <row r="68" spans="1:5">
      <c r="A68" s="12"/>
      <c r="B68" s="12"/>
      <c r="C68" s="12"/>
      <c r="D68" s="12"/>
      <c r="E68" s="12"/>
    </row>
    <row r="69" spans="1:5">
      <c r="A69" s="12"/>
      <c r="B69" s="12"/>
      <c r="C69" s="12"/>
      <c r="D69" s="12"/>
      <c r="E69" s="12"/>
    </row>
    <row r="70" spans="1:5">
      <c r="A70" s="12"/>
      <c r="B70" s="12"/>
      <c r="C70" s="12"/>
      <c r="D70" s="12"/>
      <c r="E70" s="12"/>
    </row>
    <row r="71" spans="1:5">
      <c r="A71" s="12"/>
      <c r="B71" s="12"/>
      <c r="C71" s="12"/>
      <c r="D71" s="12"/>
      <c r="E71" s="12"/>
    </row>
    <row r="72" spans="1:5">
      <c r="A72" s="12"/>
      <c r="B72" s="12"/>
      <c r="C72" s="12"/>
      <c r="D72" s="12"/>
      <c r="E72" s="12"/>
    </row>
    <row r="73" spans="1:5">
      <c r="A73" s="12"/>
      <c r="B73" s="12"/>
      <c r="C73" s="12"/>
      <c r="D73" s="12"/>
      <c r="E73" s="12"/>
    </row>
    <row r="74" spans="1:5">
      <c r="A74" s="12"/>
      <c r="B74" s="12"/>
      <c r="C74" s="12"/>
      <c r="D74" s="12"/>
      <c r="E74" s="12"/>
    </row>
    <row r="75" spans="1:5">
      <c r="A75" s="12"/>
      <c r="B75" s="12"/>
      <c r="C75" s="12"/>
      <c r="D75" s="12"/>
      <c r="E75" s="12"/>
    </row>
    <row r="76" spans="1:5">
      <c r="A76" s="12"/>
      <c r="B76" s="12"/>
      <c r="C76" s="12"/>
      <c r="D76" s="12"/>
      <c r="E76" s="12"/>
    </row>
    <row r="77" spans="1:5">
      <c r="A77" s="12"/>
      <c r="B77" s="12"/>
      <c r="C77" s="12"/>
      <c r="D77" s="12"/>
      <c r="E77" s="12"/>
    </row>
    <row r="78" spans="1:5">
      <c r="A78" s="12"/>
      <c r="B78" s="12"/>
      <c r="C78" s="12"/>
      <c r="D78" s="12"/>
      <c r="E78" s="12"/>
    </row>
    <row r="79" spans="1:5">
      <c r="A79" s="12"/>
      <c r="B79" s="12"/>
      <c r="C79" s="12"/>
      <c r="D79" s="12"/>
      <c r="E79" s="12"/>
    </row>
    <row r="80" spans="1:5">
      <c r="A80" s="12"/>
      <c r="B80" s="12"/>
      <c r="C80" s="12"/>
      <c r="D80" s="12"/>
      <c r="E80" s="12"/>
    </row>
    <row r="81" spans="1:5">
      <c r="A81" s="12"/>
      <c r="B81" s="12"/>
      <c r="C81" s="12"/>
      <c r="D81" s="12"/>
      <c r="E81" s="12"/>
    </row>
    <row r="82" spans="1:5">
      <c r="A82" s="12"/>
      <c r="B82" s="12"/>
      <c r="C82" s="12"/>
      <c r="D82" s="12"/>
      <c r="E82" s="12"/>
    </row>
    <row r="83" spans="1:5">
      <c r="A83" s="12"/>
      <c r="B83" s="12"/>
      <c r="C83" s="12"/>
      <c r="D83" s="12"/>
      <c r="E83" s="12"/>
    </row>
    <row r="84" spans="1:5">
      <c r="A84" s="12"/>
      <c r="B84" s="12"/>
      <c r="C84" s="12"/>
      <c r="D84" s="12"/>
      <c r="E84" s="12"/>
    </row>
    <row r="85" spans="1:5">
      <c r="A85" s="12"/>
      <c r="B85" s="12"/>
      <c r="C85" s="12"/>
      <c r="D85" s="12"/>
      <c r="E85" s="12"/>
    </row>
    <row r="86" spans="1:5">
      <c r="A86" s="12"/>
      <c r="B86" s="12"/>
      <c r="C86" s="12"/>
      <c r="D86" s="12"/>
      <c r="E86" s="12"/>
    </row>
    <row r="87" spans="1:5">
      <c r="A87" s="12"/>
      <c r="B87" s="12"/>
      <c r="C87" s="12"/>
      <c r="D87" s="12"/>
      <c r="E87" s="12"/>
    </row>
    <row r="88" spans="1:5">
      <c r="A88" s="12"/>
      <c r="B88" s="12"/>
      <c r="C88" s="12"/>
      <c r="D88" s="12"/>
      <c r="E88" s="12"/>
    </row>
    <row r="89" spans="1:5">
      <c r="A89" s="12"/>
      <c r="B89" s="12"/>
      <c r="C89" s="12"/>
      <c r="D89" s="12"/>
      <c r="E89" s="12"/>
    </row>
    <row r="90" spans="1:5">
      <c r="A90" s="12"/>
      <c r="B90" s="12"/>
      <c r="C90" s="12"/>
      <c r="D90" s="12"/>
      <c r="E90" s="12"/>
    </row>
    <row r="91" spans="1:5">
      <c r="A91" s="12"/>
      <c r="B91" s="12"/>
      <c r="C91" s="12"/>
      <c r="D91" s="12"/>
      <c r="E91" s="12"/>
    </row>
    <row r="92" spans="1:5">
      <c r="A92" s="12"/>
      <c r="B92" s="12"/>
      <c r="C92" s="12"/>
      <c r="D92" s="12"/>
      <c r="E92" s="12"/>
    </row>
    <row r="93" spans="1:5">
      <c r="A93" s="12"/>
      <c r="B93" s="12"/>
      <c r="C93" s="12"/>
      <c r="D93" s="12"/>
      <c r="E93" s="12"/>
    </row>
    <row r="94" spans="1:5">
      <c r="A94" s="12"/>
      <c r="B94" s="12"/>
      <c r="C94" s="12"/>
      <c r="D94" s="12"/>
      <c r="E94" s="12"/>
    </row>
    <row r="95" spans="1:5">
      <c r="A95" s="12"/>
      <c r="B95" s="12"/>
      <c r="C95" s="12"/>
      <c r="D95" s="12"/>
      <c r="E95" s="12"/>
    </row>
    <row r="96" spans="1:5">
      <c r="A96" s="12"/>
      <c r="B96" s="12"/>
      <c r="C96" s="12"/>
      <c r="D96" s="12"/>
      <c r="E96" s="12"/>
    </row>
    <row r="97" spans="1:5">
      <c r="A97" s="12"/>
      <c r="B97" s="12"/>
      <c r="C97" s="12"/>
      <c r="D97" s="12"/>
      <c r="E97" s="12"/>
    </row>
    <row r="98" spans="1:5">
      <c r="A98" s="12"/>
      <c r="B98" s="12"/>
      <c r="C98" s="12"/>
      <c r="D98" s="12"/>
      <c r="E98" s="12"/>
    </row>
    <row r="99" spans="1:5">
      <c r="A99" s="12"/>
      <c r="B99" s="12"/>
      <c r="C99" s="12"/>
      <c r="D99" s="12"/>
      <c r="E99" s="12"/>
    </row>
    <row r="100" spans="1:5">
      <c r="A100" s="12"/>
      <c r="B100" s="12"/>
      <c r="C100" s="12"/>
      <c r="D100" s="12"/>
      <c r="E100" s="12"/>
    </row>
    <row r="101" spans="1:5">
      <c r="A101" s="12"/>
      <c r="B101" s="12"/>
      <c r="C101" s="12"/>
      <c r="D101" s="12"/>
      <c r="E101" s="12"/>
    </row>
    <row r="102" spans="1:5">
      <c r="A102" s="12"/>
      <c r="B102" s="12"/>
      <c r="C102" s="12"/>
      <c r="D102" s="12"/>
      <c r="E102" s="12"/>
    </row>
    <row r="103" spans="1:5">
      <c r="A103" s="12"/>
      <c r="B103" s="12"/>
      <c r="C103" s="12"/>
      <c r="D103" s="12"/>
      <c r="E103" s="12"/>
    </row>
    <row r="104" spans="1:5">
      <c r="A104" s="12"/>
      <c r="B104" s="12"/>
      <c r="C104" s="12"/>
      <c r="D104" s="12"/>
      <c r="E104" s="12"/>
    </row>
    <row r="105" spans="1:5">
      <c r="A105" s="12"/>
      <c r="B105" s="12"/>
      <c r="C105" s="12"/>
      <c r="D105" s="12"/>
      <c r="E105" s="12"/>
    </row>
    <row r="106" spans="1:5">
      <c r="A106" s="12"/>
      <c r="B106" s="12"/>
      <c r="C106" s="12"/>
      <c r="D106" s="12"/>
      <c r="E106" s="12"/>
    </row>
    <row r="107" spans="1:5">
      <c r="A107" s="12"/>
      <c r="B107" s="12"/>
      <c r="C107" s="12"/>
      <c r="D107" s="12"/>
      <c r="E107" s="12"/>
    </row>
    <row r="108" spans="1:5">
      <c r="A108" s="12"/>
      <c r="B108" s="12"/>
      <c r="C108" s="12"/>
      <c r="D108" s="12"/>
      <c r="E108" s="12"/>
    </row>
    <row r="109" spans="1:5">
      <c r="A109" s="12"/>
      <c r="B109" s="12"/>
      <c r="C109" s="12"/>
      <c r="D109" s="12"/>
      <c r="E109" s="12"/>
    </row>
    <row r="110" spans="1:5">
      <c r="A110" s="12"/>
      <c r="B110" s="12"/>
      <c r="C110" s="12"/>
      <c r="D110" s="12"/>
      <c r="E110" s="12"/>
    </row>
    <row r="111" spans="1:5">
      <c r="A111" s="12"/>
      <c r="B111" s="12"/>
      <c r="C111" s="12"/>
      <c r="D111" s="12"/>
      <c r="E111" s="12"/>
    </row>
    <row r="112" spans="1:5">
      <c r="A112" s="12"/>
      <c r="B112" s="12"/>
      <c r="C112" s="12"/>
      <c r="D112" s="12"/>
      <c r="E112" s="12"/>
    </row>
    <row r="113" spans="1:5">
      <c r="A113" s="12"/>
      <c r="B113" s="12"/>
      <c r="C113" s="12"/>
      <c r="D113" s="12"/>
      <c r="E113" s="12"/>
    </row>
    <row r="114" spans="1:5">
      <c r="A114" s="12"/>
      <c r="B114" s="12"/>
      <c r="C114" s="12"/>
      <c r="D114" s="12"/>
      <c r="E114" s="12"/>
    </row>
    <row r="115" spans="1:5">
      <c r="A115" s="12"/>
      <c r="B115" s="12"/>
      <c r="C115" s="12"/>
      <c r="D115" s="12"/>
      <c r="E115" s="12"/>
    </row>
    <row r="116" spans="1:5">
      <c r="A116" s="12"/>
      <c r="B116" s="12"/>
      <c r="C116" s="12"/>
      <c r="D116" s="12"/>
      <c r="E116" s="12"/>
    </row>
    <row r="117" spans="1:5">
      <c r="A117" s="12"/>
      <c r="B117" s="12"/>
      <c r="C117" s="12"/>
      <c r="D117" s="12"/>
      <c r="E117" s="12"/>
    </row>
    <row r="118" spans="1:5">
      <c r="A118" s="12"/>
      <c r="B118" s="12"/>
      <c r="C118" s="12"/>
      <c r="D118" s="12"/>
      <c r="E118" s="12"/>
    </row>
    <row r="119" spans="1:5">
      <c r="A119" s="12"/>
      <c r="B119" s="12"/>
      <c r="C119" s="12"/>
      <c r="D119" s="12"/>
      <c r="E119" s="12"/>
    </row>
    <row r="120" spans="1:5">
      <c r="A120" s="12"/>
      <c r="B120" s="12"/>
      <c r="C120" s="12"/>
      <c r="D120" s="12"/>
      <c r="E120" s="12"/>
    </row>
    <row r="121" spans="1:5">
      <c r="A121" s="12"/>
      <c r="B121" s="12"/>
      <c r="C121" s="12"/>
      <c r="D121" s="12"/>
      <c r="E121" s="12"/>
    </row>
    <row r="122" spans="1:5">
      <c r="A122" s="12"/>
      <c r="B122" s="12"/>
      <c r="C122" s="12"/>
      <c r="D122" s="12"/>
      <c r="E122" s="12"/>
    </row>
    <row r="123" spans="1:5">
      <c r="A123" s="12"/>
      <c r="B123" s="12"/>
      <c r="C123" s="12"/>
      <c r="D123" s="12"/>
      <c r="E123" s="12"/>
    </row>
    <row r="124" spans="1:5">
      <c r="A124" s="12"/>
      <c r="B124" s="12"/>
      <c r="C124" s="12"/>
      <c r="D124" s="12"/>
      <c r="E124" s="12"/>
    </row>
    <row r="125" spans="1:5">
      <c r="A125" s="12"/>
      <c r="B125" s="12"/>
      <c r="C125" s="12"/>
      <c r="D125" s="12"/>
      <c r="E125" s="12"/>
    </row>
    <row r="126" spans="1:5">
      <c r="A126" s="12"/>
      <c r="B126" s="12"/>
      <c r="C126" s="12"/>
      <c r="D126" s="12"/>
      <c r="E126" s="12"/>
    </row>
    <row r="127" spans="1:5">
      <c r="A127" s="12"/>
      <c r="B127" s="12"/>
      <c r="C127" s="12"/>
      <c r="D127" s="12"/>
      <c r="E127" s="12"/>
    </row>
    <row r="128" spans="1:5">
      <c r="A128" s="12"/>
      <c r="B128" s="12"/>
      <c r="C128" s="12"/>
      <c r="D128" s="12"/>
      <c r="E128" s="12"/>
    </row>
    <row r="129" spans="1:5">
      <c r="A129" s="12"/>
      <c r="B129" s="12"/>
      <c r="C129" s="12"/>
      <c r="D129" s="12"/>
      <c r="E129" s="12"/>
    </row>
    <row r="130" spans="1:5">
      <c r="A130" s="12"/>
      <c r="B130" s="12"/>
      <c r="C130" s="12"/>
      <c r="D130" s="12"/>
      <c r="E130" s="12"/>
    </row>
    <row r="131" spans="1:5">
      <c r="A131" s="12"/>
      <c r="B131" s="12"/>
      <c r="C131" s="12"/>
      <c r="D131" s="12"/>
      <c r="E131" s="12"/>
    </row>
    <row r="132" spans="1:5">
      <c r="A132" s="12"/>
      <c r="B132" s="12"/>
      <c r="C132" s="12"/>
      <c r="D132" s="12"/>
      <c r="E132" s="12"/>
    </row>
    <row r="133" spans="1:5">
      <c r="A133" s="12"/>
      <c r="B133" s="12"/>
      <c r="C133" s="12"/>
      <c r="D133" s="12"/>
      <c r="E133" s="12"/>
    </row>
    <row r="134" spans="1:5">
      <c r="A134" s="12"/>
      <c r="B134" s="12"/>
      <c r="C134" s="12"/>
      <c r="D134" s="12"/>
      <c r="E134" s="12"/>
    </row>
    <row r="135" spans="1:5">
      <c r="A135" s="12"/>
      <c r="B135" s="12"/>
      <c r="C135" s="12"/>
      <c r="D135" s="12"/>
      <c r="E135" s="12"/>
    </row>
    <row r="136" spans="1:5">
      <c r="A136" s="12"/>
      <c r="B136" s="12"/>
      <c r="C136" s="12"/>
      <c r="D136" s="12"/>
      <c r="E136" s="12"/>
    </row>
    <row r="137" spans="1:5">
      <c r="A137" s="12"/>
      <c r="B137" s="12"/>
      <c r="C137" s="12"/>
      <c r="D137" s="12"/>
      <c r="E137" s="12"/>
    </row>
    <row r="138" spans="1:5">
      <c r="A138" s="12"/>
      <c r="B138" s="12"/>
      <c r="C138" s="12"/>
      <c r="D138" s="12"/>
      <c r="E138" s="12"/>
    </row>
    <row r="139" spans="1:5">
      <c r="A139" s="12"/>
      <c r="B139" s="12"/>
      <c r="C139" s="12"/>
      <c r="D139" s="12"/>
      <c r="E139" s="12"/>
    </row>
    <row r="140" spans="1:5">
      <c r="A140" s="12"/>
      <c r="B140" s="12"/>
      <c r="C140" s="12"/>
      <c r="D140" s="12"/>
      <c r="E140" s="12"/>
    </row>
    <row r="141" spans="1:5">
      <c r="A141" s="12"/>
      <c r="B141" s="12"/>
      <c r="C141" s="12"/>
      <c r="D141" s="12"/>
      <c r="E141" s="12"/>
    </row>
    <row r="142" spans="1:5">
      <c r="A142" s="12"/>
      <c r="B142" s="12"/>
      <c r="C142" s="12"/>
      <c r="D142" s="12"/>
      <c r="E142" s="12"/>
    </row>
    <row r="143" spans="1:5">
      <c r="A143" s="12"/>
      <c r="B143" s="12"/>
      <c r="C143" s="12"/>
      <c r="D143" s="12"/>
      <c r="E143" s="12"/>
    </row>
    <row r="144" spans="1:5">
      <c r="A144" s="12"/>
      <c r="B144" s="12"/>
      <c r="C144" s="12"/>
      <c r="D144" s="12"/>
      <c r="E144" s="12"/>
    </row>
    <row r="145" spans="1:5">
      <c r="A145" s="12"/>
      <c r="B145" s="12"/>
      <c r="C145" s="12"/>
      <c r="D145" s="12"/>
      <c r="E145" s="12"/>
    </row>
    <row r="146" spans="1:5">
      <c r="A146" s="12"/>
      <c r="B146" s="12"/>
      <c r="C146" s="12"/>
      <c r="D146" s="12"/>
      <c r="E146" s="12"/>
    </row>
    <row r="147" spans="1:5">
      <c r="A147" s="12"/>
      <c r="B147" s="12"/>
      <c r="C147" s="12"/>
      <c r="D147" s="12"/>
      <c r="E147" s="12"/>
    </row>
    <row r="148" spans="1:5">
      <c r="A148" s="12"/>
      <c r="B148" s="12"/>
      <c r="C148" s="12"/>
      <c r="D148" s="12"/>
      <c r="E148" s="12"/>
    </row>
    <row r="149" spans="1:5">
      <c r="A149" s="12"/>
      <c r="B149" s="12"/>
      <c r="C149" s="12"/>
      <c r="D149" s="12"/>
      <c r="E149" s="12"/>
    </row>
    <row r="150" spans="1:5">
      <c r="A150" s="12"/>
      <c r="B150" s="12"/>
      <c r="C150" s="12"/>
      <c r="D150" s="12"/>
      <c r="E150" s="12"/>
    </row>
    <row r="151" spans="1:5">
      <c r="A151" s="12"/>
      <c r="B151" s="12"/>
      <c r="C151" s="12"/>
      <c r="D151" s="12"/>
      <c r="E151" s="12"/>
    </row>
    <row r="152" spans="1:5">
      <c r="A152" s="12"/>
      <c r="B152" s="12"/>
      <c r="C152" s="12"/>
      <c r="D152" s="12"/>
      <c r="E152" s="12"/>
    </row>
    <row r="153" spans="1:5">
      <c r="A153" s="12"/>
      <c r="B153" s="12"/>
      <c r="C153" s="12"/>
      <c r="D153" s="12"/>
      <c r="E153" s="12"/>
    </row>
    <row r="154" spans="1:5">
      <c r="A154" s="12"/>
      <c r="B154" s="12"/>
      <c r="C154" s="12"/>
      <c r="D154" s="12"/>
      <c r="E154" s="12"/>
    </row>
    <row r="155" spans="1:5">
      <c r="A155" s="12"/>
      <c r="B155" s="12"/>
      <c r="C155" s="12"/>
      <c r="D155" s="12"/>
      <c r="E155" s="12"/>
    </row>
    <row r="156" spans="1:5">
      <c r="A156" s="12"/>
      <c r="B156" s="12"/>
      <c r="C156" s="12"/>
      <c r="D156" s="12"/>
      <c r="E156" s="12"/>
    </row>
    <row r="157" spans="1:5">
      <c r="A157" s="12"/>
      <c r="B157" s="12"/>
      <c r="C157" s="12"/>
      <c r="D157" s="12"/>
      <c r="E157" s="12"/>
    </row>
    <row r="158" spans="1:5">
      <c r="A158" s="12"/>
      <c r="B158" s="12"/>
      <c r="C158" s="12"/>
      <c r="D158" s="12"/>
      <c r="E158" s="12"/>
    </row>
    <row r="159" spans="1:5">
      <c r="A159" s="12"/>
      <c r="B159" s="12"/>
      <c r="C159" s="12"/>
      <c r="D159" s="12"/>
      <c r="E159" s="12"/>
    </row>
    <row r="160" spans="1:5">
      <c r="A160" s="12"/>
      <c r="B160" s="12"/>
      <c r="C160" s="12"/>
      <c r="D160" s="12"/>
      <c r="E160" s="12"/>
    </row>
    <row r="161" spans="1:5">
      <c r="A161" s="12"/>
      <c r="B161" s="12"/>
      <c r="C161" s="12"/>
      <c r="D161" s="12"/>
      <c r="E161" s="12"/>
    </row>
    <row r="162" spans="1:5">
      <c r="A162" s="12"/>
      <c r="B162" s="12"/>
      <c r="C162" s="12"/>
      <c r="D162" s="12"/>
      <c r="E162" s="12"/>
    </row>
    <row r="163" spans="1:5">
      <c r="A163" s="12"/>
      <c r="B163" s="12"/>
      <c r="C163" s="12"/>
      <c r="D163" s="12"/>
      <c r="E163" s="12"/>
    </row>
    <row r="164" spans="1:5">
      <c r="A164" s="12"/>
      <c r="B164" s="12"/>
      <c r="C164" s="12"/>
      <c r="D164" s="12"/>
      <c r="E164" s="12"/>
    </row>
    <row r="165" spans="1:5">
      <c r="A165" s="12"/>
      <c r="B165" s="12"/>
      <c r="C165" s="12"/>
      <c r="D165" s="12"/>
      <c r="E165" s="12"/>
    </row>
    <row r="166" spans="1:5">
      <c r="A166" s="12"/>
      <c r="B166" s="12"/>
      <c r="C166" s="12"/>
      <c r="D166" s="12"/>
      <c r="E166" s="12"/>
    </row>
    <row r="167" spans="1:5">
      <c r="A167" s="12"/>
      <c r="B167" s="12"/>
      <c r="C167" s="12"/>
      <c r="D167" s="12"/>
      <c r="E167" s="12"/>
    </row>
    <row r="168" spans="1:5">
      <c r="A168" s="12"/>
      <c r="B168" s="12"/>
      <c r="C168" s="12"/>
      <c r="D168" s="12"/>
      <c r="E168" s="12"/>
    </row>
    <row r="169" spans="1:5">
      <c r="A169" s="12"/>
      <c r="B169" s="12"/>
      <c r="C169" s="12"/>
      <c r="D169" s="12"/>
      <c r="E169" s="12"/>
    </row>
    <row r="170" spans="1:5">
      <c r="A170" s="12"/>
      <c r="B170" s="12"/>
      <c r="C170" s="12"/>
      <c r="D170" s="12"/>
      <c r="E170" s="12"/>
    </row>
    <row r="171" spans="1:5">
      <c r="A171" s="12"/>
      <c r="B171" s="12"/>
      <c r="C171" s="12"/>
      <c r="D171" s="12"/>
      <c r="E171" s="12"/>
    </row>
    <row r="172" spans="1:5">
      <c r="A172" s="12"/>
      <c r="B172" s="12"/>
      <c r="C172" s="12"/>
      <c r="D172" s="12"/>
      <c r="E172" s="12"/>
    </row>
    <row r="173" spans="1:5">
      <c r="A173" s="12"/>
      <c r="B173" s="12"/>
      <c r="C173" s="12"/>
      <c r="D173" s="12"/>
      <c r="E173" s="12"/>
    </row>
    <row r="174" spans="1:5">
      <c r="A174" s="12"/>
      <c r="B174" s="12"/>
      <c r="C174" s="12"/>
      <c r="D174" s="12"/>
      <c r="E174" s="12"/>
    </row>
    <row r="175" spans="1:5">
      <c r="A175" s="12"/>
      <c r="B175" s="12"/>
      <c r="C175" s="12"/>
      <c r="D175" s="12"/>
      <c r="E175" s="12"/>
    </row>
    <row r="176" spans="1:5">
      <c r="A176" s="12"/>
      <c r="B176" s="12"/>
      <c r="C176" s="12"/>
      <c r="D176" s="12"/>
      <c r="E176" s="12"/>
    </row>
    <row r="177" spans="1:5">
      <c r="A177" s="12"/>
      <c r="B177" s="12"/>
      <c r="C177" s="12"/>
      <c r="D177" s="12"/>
      <c r="E177" s="12"/>
    </row>
    <row r="178" spans="1:5">
      <c r="A178" s="12"/>
      <c r="B178" s="12"/>
      <c r="C178" s="12"/>
      <c r="D178" s="12"/>
      <c r="E178" s="12"/>
    </row>
    <row r="179" spans="1:5">
      <c r="A179" s="12"/>
      <c r="B179" s="12"/>
      <c r="C179" s="12"/>
      <c r="D179" s="12"/>
      <c r="E179" s="12"/>
    </row>
    <row r="180" spans="1:5">
      <c r="A180" s="12"/>
      <c r="B180" s="12"/>
      <c r="C180" s="12"/>
      <c r="D180" s="12"/>
      <c r="E180" s="12"/>
    </row>
    <row r="181" spans="1:5">
      <c r="A181" s="12"/>
      <c r="B181" s="12"/>
      <c r="C181" s="12"/>
      <c r="D181" s="12"/>
      <c r="E181" s="12"/>
    </row>
    <row r="182" spans="1:5">
      <c r="A182" s="12"/>
      <c r="B182" s="12"/>
      <c r="C182" s="12"/>
      <c r="D182" s="12"/>
      <c r="E182" s="12"/>
    </row>
    <row r="183" spans="1:5">
      <c r="A183" s="12"/>
      <c r="B183" s="12"/>
      <c r="C183" s="12"/>
      <c r="D183" s="12"/>
      <c r="E183" s="12"/>
    </row>
    <row r="184" spans="1:5">
      <c r="A184" s="12"/>
      <c r="B184" s="12"/>
      <c r="C184" s="12"/>
      <c r="D184" s="12"/>
      <c r="E184" s="12"/>
    </row>
    <row r="185" spans="1:5">
      <c r="A185" s="12"/>
      <c r="B185" s="12"/>
      <c r="C185" s="12"/>
      <c r="D185" s="12"/>
      <c r="E185" s="12"/>
    </row>
    <row r="186" spans="1:5">
      <c r="A186" s="12"/>
      <c r="B186" s="12"/>
      <c r="C186" s="12"/>
      <c r="D186" s="12"/>
      <c r="E186" s="12"/>
    </row>
    <row r="187" spans="1:5">
      <c r="A187" s="12"/>
      <c r="B187" s="12"/>
      <c r="C187" s="12"/>
      <c r="D187" s="12"/>
      <c r="E187" s="12"/>
    </row>
    <row r="188" spans="1:5">
      <c r="A188" s="12"/>
      <c r="B188" s="12"/>
      <c r="C188" s="12"/>
      <c r="D188" s="12"/>
      <c r="E188" s="12"/>
    </row>
    <row r="189" spans="1:5">
      <c r="A189" s="12"/>
      <c r="B189" s="12"/>
      <c r="C189" s="12"/>
      <c r="D189" s="12"/>
      <c r="E189" s="12"/>
    </row>
    <row r="190" spans="1:5">
      <c r="A190" s="12"/>
      <c r="B190" s="12"/>
      <c r="C190" s="12"/>
      <c r="D190" s="12"/>
      <c r="E190" s="12"/>
    </row>
    <row r="191" spans="1:5">
      <c r="A191" s="12"/>
      <c r="B191" s="12"/>
      <c r="C191" s="12"/>
      <c r="D191" s="12"/>
      <c r="E191" s="12"/>
    </row>
    <row r="192" spans="1:5">
      <c r="A192" s="12"/>
      <c r="B192" s="12"/>
      <c r="C192" s="12"/>
      <c r="D192" s="12"/>
      <c r="E192" s="12"/>
    </row>
    <row r="193" spans="1:5">
      <c r="A193" s="12"/>
      <c r="B193" s="12"/>
      <c r="C193" s="12"/>
      <c r="D193" s="12"/>
      <c r="E193" s="12"/>
    </row>
    <row r="194" spans="1:5">
      <c r="A194" s="12"/>
      <c r="B194" s="12"/>
      <c r="C194" s="12"/>
      <c r="D194" s="12"/>
      <c r="E194" s="12"/>
    </row>
    <row r="195" spans="1:5">
      <c r="A195" s="12"/>
      <c r="B195" s="12"/>
      <c r="C195" s="12"/>
      <c r="D195" s="12"/>
      <c r="E195" s="12"/>
    </row>
    <row r="196" spans="1:5">
      <c r="A196" s="12"/>
      <c r="B196" s="12"/>
      <c r="C196" s="12"/>
      <c r="D196" s="12"/>
      <c r="E196" s="12"/>
    </row>
    <row r="197" spans="1:5">
      <c r="A197" s="12"/>
      <c r="B197" s="12"/>
      <c r="C197" s="12"/>
      <c r="D197" s="12"/>
      <c r="E197" s="12"/>
    </row>
    <row r="198" spans="1:5">
      <c r="A198" s="12"/>
      <c r="B198" s="12"/>
      <c r="C198" s="12"/>
      <c r="D198" s="12"/>
      <c r="E198" s="12"/>
    </row>
    <row r="199" spans="1:5">
      <c r="A199" s="12"/>
      <c r="B199" s="12"/>
      <c r="C199" s="12"/>
      <c r="D199" s="12"/>
      <c r="E199" s="12"/>
    </row>
    <row r="200" spans="1:5">
      <c r="A200" s="12"/>
      <c r="B200" s="12"/>
      <c r="C200" s="12"/>
      <c r="D200" s="12"/>
      <c r="E200" s="12"/>
    </row>
    <row r="201" spans="1:5">
      <c r="A201" s="12"/>
      <c r="B201" s="12"/>
      <c r="C201" s="12"/>
      <c r="D201" s="12"/>
      <c r="E201" s="12"/>
    </row>
    <row r="202" spans="1:5">
      <c r="A202" s="12"/>
      <c r="B202" s="12"/>
      <c r="C202" s="12"/>
      <c r="D202" s="12"/>
      <c r="E202" s="12"/>
    </row>
    <row r="203" spans="1:5">
      <c r="A203" s="12"/>
      <c r="B203" s="12"/>
      <c r="C203" s="12"/>
      <c r="D203" s="12"/>
      <c r="E203" s="12"/>
    </row>
    <row r="204" spans="1:5">
      <c r="A204" s="12"/>
      <c r="B204" s="12"/>
      <c r="C204" s="12"/>
      <c r="D204" s="12"/>
      <c r="E204" s="12"/>
    </row>
    <row r="205" spans="1:5">
      <c r="A205" s="12"/>
      <c r="B205" s="12"/>
      <c r="C205" s="12"/>
      <c r="D205" s="12"/>
      <c r="E205" s="12"/>
    </row>
    <row r="206" spans="1:5">
      <c r="A206" s="12"/>
      <c r="B206" s="12"/>
      <c r="C206" s="12"/>
      <c r="D206" s="12"/>
      <c r="E206" s="12"/>
    </row>
    <row r="207" spans="1:5">
      <c r="A207" s="12"/>
      <c r="B207" s="12"/>
      <c r="C207" s="12"/>
      <c r="D207" s="12"/>
      <c r="E207" s="12"/>
    </row>
    <row r="208" spans="1:5">
      <c r="A208" s="12"/>
      <c r="B208" s="12"/>
      <c r="C208" s="12"/>
      <c r="D208" s="12"/>
      <c r="E208" s="12"/>
    </row>
    <row r="209" spans="1:5">
      <c r="A209" s="12"/>
      <c r="B209" s="12"/>
      <c r="C209" s="12"/>
      <c r="D209" s="12"/>
      <c r="E209" s="12"/>
    </row>
    <row r="210" spans="1:5">
      <c r="A210" s="12"/>
      <c r="B210" s="12"/>
      <c r="C210" s="12"/>
      <c r="D210" s="12"/>
      <c r="E210" s="12"/>
    </row>
    <row r="211" spans="1:5">
      <c r="A211" s="12"/>
      <c r="B211" s="12"/>
      <c r="C211" s="12"/>
      <c r="D211" s="12"/>
      <c r="E211" s="12"/>
    </row>
    <row r="212" spans="1:5">
      <c r="A212" s="12"/>
      <c r="B212" s="12"/>
      <c r="C212" s="12"/>
      <c r="D212" s="12"/>
      <c r="E212" s="12"/>
    </row>
    <row r="213" spans="1:5">
      <c r="A213" s="12"/>
      <c r="B213" s="12"/>
      <c r="C213" s="12"/>
      <c r="D213" s="12"/>
      <c r="E213" s="12"/>
    </row>
    <row r="214" spans="1:5">
      <c r="A214" s="12"/>
      <c r="B214" s="12"/>
      <c r="C214" s="12"/>
      <c r="D214" s="12"/>
      <c r="E214" s="12"/>
    </row>
    <row r="215" spans="1:5">
      <c r="A215" s="12"/>
      <c r="B215" s="12"/>
      <c r="C215" s="12"/>
      <c r="D215" s="12"/>
      <c r="E215" s="12"/>
    </row>
    <row r="216" spans="1:5">
      <c r="A216" s="12"/>
      <c r="B216" s="12"/>
      <c r="C216" s="12"/>
      <c r="D216" s="12"/>
      <c r="E216" s="12"/>
    </row>
    <row r="217" spans="1:5">
      <c r="A217" s="12"/>
      <c r="B217" s="12"/>
      <c r="C217" s="12"/>
      <c r="D217" s="12"/>
      <c r="E217" s="12"/>
    </row>
    <row r="218" spans="1:5">
      <c r="A218" s="12"/>
      <c r="B218" s="12"/>
      <c r="C218" s="12"/>
      <c r="D218" s="12"/>
      <c r="E218" s="12"/>
    </row>
    <row r="219" spans="1:5">
      <c r="A219" s="12"/>
      <c r="B219" s="12"/>
      <c r="C219" s="12"/>
      <c r="D219" s="12"/>
      <c r="E219" s="12"/>
    </row>
    <row r="220" spans="1:5">
      <c r="A220" s="12"/>
      <c r="B220" s="12"/>
      <c r="C220" s="12"/>
      <c r="D220" s="12"/>
      <c r="E220" s="12"/>
    </row>
    <row r="221" spans="1:5">
      <c r="A221" s="12"/>
      <c r="B221" s="12"/>
      <c r="C221" s="12"/>
      <c r="D221" s="12"/>
      <c r="E221" s="12"/>
    </row>
    <row r="222" spans="1:5">
      <c r="A222" s="12"/>
      <c r="B222" s="12"/>
      <c r="C222" s="12"/>
      <c r="D222" s="12"/>
      <c r="E222" s="12"/>
    </row>
    <row r="223" spans="1:5">
      <c r="A223" s="12"/>
      <c r="B223" s="12"/>
      <c r="C223" s="12"/>
      <c r="D223" s="12"/>
      <c r="E223" s="12"/>
    </row>
    <row r="224" spans="1:5">
      <c r="A224" s="12"/>
      <c r="B224" s="12"/>
      <c r="C224" s="12"/>
      <c r="D224" s="12"/>
      <c r="E224" s="12"/>
    </row>
    <row r="225" spans="1:5">
      <c r="A225" s="12"/>
      <c r="B225" s="12"/>
      <c r="C225" s="12"/>
      <c r="D225" s="12"/>
      <c r="E225" s="12"/>
    </row>
    <row r="226" spans="1:5">
      <c r="A226" s="12"/>
      <c r="B226" s="12"/>
      <c r="C226" s="12"/>
      <c r="D226" s="12"/>
      <c r="E226" s="12"/>
    </row>
    <row r="227" spans="1:5">
      <c r="A227" s="12"/>
      <c r="B227" s="12"/>
      <c r="C227" s="12"/>
      <c r="D227" s="12"/>
      <c r="E227" s="12"/>
    </row>
    <row r="228" spans="1:5">
      <c r="A228" s="12"/>
      <c r="B228" s="12"/>
      <c r="C228" s="12"/>
      <c r="D228" s="12"/>
      <c r="E228" s="12"/>
    </row>
    <row r="229" spans="1:5">
      <c r="A229" s="12"/>
      <c r="B229" s="12"/>
      <c r="C229" s="12"/>
      <c r="D229" s="12"/>
      <c r="E229" s="12"/>
    </row>
    <row r="230" spans="1:5">
      <c r="A230" s="12"/>
      <c r="B230" s="12"/>
      <c r="C230" s="12"/>
      <c r="D230" s="12"/>
      <c r="E230" s="12"/>
    </row>
    <row r="231" spans="1:5">
      <c r="A231" s="12"/>
      <c r="B231" s="12"/>
      <c r="C231" s="12"/>
      <c r="D231" s="12"/>
      <c r="E231" s="12"/>
    </row>
    <row r="232" spans="1:5">
      <c r="A232" s="12"/>
      <c r="B232" s="12"/>
      <c r="C232" s="12"/>
      <c r="D232" s="12"/>
      <c r="E232" s="12"/>
    </row>
    <row r="233" spans="1:5">
      <c r="A233" s="12"/>
      <c r="B233" s="12"/>
      <c r="C233" s="12"/>
      <c r="D233" s="12"/>
      <c r="E233" s="12"/>
    </row>
    <row r="234" spans="1:5">
      <c r="A234" s="12"/>
      <c r="B234" s="12"/>
      <c r="C234" s="12"/>
      <c r="D234" s="12"/>
      <c r="E234" s="12"/>
    </row>
    <row r="235" spans="1:5">
      <c r="A235" s="12"/>
      <c r="B235" s="12"/>
      <c r="C235" s="12"/>
      <c r="D235" s="12"/>
      <c r="E235" s="12"/>
    </row>
    <row r="236" spans="1:5">
      <c r="A236" s="12"/>
      <c r="B236" s="12"/>
      <c r="C236" s="12"/>
      <c r="D236" s="12"/>
      <c r="E236" s="12"/>
    </row>
    <row r="237" spans="1:5">
      <c r="A237" s="12"/>
      <c r="B237" s="12"/>
      <c r="C237" s="12"/>
      <c r="D237" s="12"/>
      <c r="E237" s="12"/>
    </row>
    <row r="238" spans="1:5">
      <c r="A238" s="12"/>
      <c r="B238" s="12"/>
      <c r="C238" s="12"/>
      <c r="D238" s="12"/>
      <c r="E238" s="12"/>
    </row>
    <row r="239" spans="1:5">
      <c r="A239" s="12"/>
      <c r="B239" s="12"/>
      <c r="C239" s="12"/>
      <c r="D239" s="12"/>
      <c r="E239" s="12"/>
    </row>
    <row r="240" spans="1:5">
      <c r="A240" s="12"/>
      <c r="B240" s="12"/>
      <c r="C240" s="12"/>
      <c r="D240" s="12"/>
      <c r="E240" s="12"/>
    </row>
    <row r="241" spans="1:5">
      <c r="A241" s="12"/>
      <c r="B241" s="12"/>
      <c r="C241" s="12"/>
      <c r="D241" s="12"/>
      <c r="E241" s="12"/>
    </row>
    <row r="242" spans="1:5">
      <c r="A242" s="12"/>
      <c r="B242" s="12"/>
      <c r="C242" s="12"/>
      <c r="D242" s="12"/>
      <c r="E242" s="12"/>
    </row>
    <row r="243" spans="1:5">
      <c r="A243" s="12"/>
      <c r="B243" s="12"/>
      <c r="C243" s="12"/>
      <c r="D243" s="12"/>
      <c r="E243" s="12"/>
    </row>
    <row r="244" spans="1:5">
      <c r="A244" s="12"/>
      <c r="B244" s="12"/>
      <c r="C244" s="12"/>
      <c r="D244" s="12"/>
      <c r="E244" s="12"/>
    </row>
    <row r="245" spans="1:5">
      <c r="A245" s="12"/>
      <c r="B245" s="12"/>
      <c r="C245" s="12"/>
      <c r="D245" s="12"/>
      <c r="E245" s="12"/>
    </row>
    <row r="246" spans="1:5">
      <c r="A246" s="12"/>
      <c r="B246" s="12"/>
      <c r="C246" s="12"/>
      <c r="D246" s="12"/>
      <c r="E246" s="12"/>
    </row>
    <row r="247" spans="1:5">
      <c r="A247" s="12"/>
      <c r="B247" s="12"/>
      <c r="C247" s="12"/>
      <c r="D247" s="12"/>
      <c r="E247" s="12"/>
    </row>
    <row r="248" spans="1:5">
      <c r="A248" s="12"/>
      <c r="B248" s="12"/>
      <c r="C248" s="12"/>
      <c r="D248" s="12"/>
      <c r="E248" s="12"/>
    </row>
    <row r="249" spans="1:5">
      <c r="A249" s="12"/>
      <c r="B249" s="12"/>
      <c r="C249" s="12"/>
      <c r="D249" s="12"/>
      <c r="E249" s="12"/>
    </row>
    <row r="250" spans="1:5">
      <c r="A250" s="12"/>
      <c r="B250" s="12"/>
      <c r="C250" s="12"/>
      <c r="D250" s="12"/>
      <c r="E250" s="12"/>
    </row>
    <row r="251" spans="1:5">
      <c r="A251" s="12"/>
      <c r="B251" s="12"/>
      <c r="C251" s="12"/>
      <c r="D251" s="12"/>
      <c r="E251" s="12"/>
    </row>
    <row r="252" spans="1:5">
      <c r="A252" s="12"/>
      <c r="B252" s="12"/>
      <c r="C252" s="12"/>
      <c r="D252" s="12"/>
      <c r="E252" s="12"/>
    </row>
    <row r="253" spans="1:5">
      <c r="A253" s="12"/>
      <c r="B253" s="12"/>
      <c r="C253" s="12"/>
      <c r="D253" s="12"/>
      <c r="E253" s="12"/>
    </row>
    <row r="254" spans="1:5">
      <c r="A254" s="12"/>
      <c r="B254" s="12"/>
      <c r="C254" s="12"/>
      <c r="D254" s="12"/>
      <c r="E254" s="12"/>
    </row>
    <row r="255" spans="1:5">
      <c r="A255" s="12"/>
      <c r="B255" s="12"/>
      <c r="C255" s="12"/>
      <c r="D255" s="12"/>
      <c r="E255" s="12"/>
    </row>
    <row r="256" spans="1:5">
      <c r="A256" s="12"/>
      <c r="B256" s="12"/>
      <c r="C256" s="12"/>
      <c r="D256" s="12"/>
      <c r="E256" s="12"/>
    </row>
    <row r="257" spans="1:5">
      <c r="A257" s="12"/>
      <c r="B257" s="12"/>
      <c r="C257" s="12"/>
      <c r="D257" s="12"/>
      <c r="E257" s="12"/>
    </row>
    <row r="258" spans="1:5">
      <c r="A258" s="12"/>
      <c r="B258" s="12"/>
      <c r="C258" s="12"/>
      <c r="D258" s="12"/>
      <c r="E258" s="12"/>
    </row>
    <row r="259" spans="1:5">
      <c r="A259" s="12"/>
      <c r="B259" s="12"/>
      <c r="C259" s="12"/>
      <c r="D259" s="12"/>
      <c r="E259" s="12"/>
    </row>
    <row r="260" spans="1:5">
      <c r="A260" s="12"/>
      <c r="B260" s="12"/>
      <c r="C260" s="12"/>
      <c r="D260" s="12"/>
      <c r="E260" s="12"/>
    </row>
    <row r="261" spans="1:5">
      <c r="A261" s="12"/>
      <c r="B261" s="12"/>
      <c r="C261" s="12"/>
      <c r="D261" s="12"/>
      <c r="E261" s="12"/>
    </row>
    <row r="262" spans="1:5">
      <c r="A262" s="12"/>
      <c r="B262" s="12"/>
      <c r="C262" s="12"/>
      <c r="D262" s="12"/>
      <c r="E262" s="12"/>
    </row>
    <row r="263" spans="1:5">
      <c r="A263" s="12"/>
      <c r="B263" s="12"/>
      <c r="C263" s="12"/>
      <c r="D263" s="12"/>
      <c r="E263" s="12"/>
    </row>
    <row r="264" spans="1:5">
      <c r="A264" s="12"/>
      <c r="B264" s="12"/>
      <c r="C264" s="12"/>
      <c r="D264" s="12"/>
      <c r="E264" s="12"/>
    </row>
    <row r="265" spans="1:5">
      <c r="A265" s="12"/>
      <c r="B265" s="12"/>
      <c r="C265" s="12"/>
      <c r="D265" s="12"/>
      <c r="E265" s="12"/>
    </row>
    <row r="266" spans="1:5">
      <c r="A266" s="12"/>
      <c r="B266" s="12"/>
      <c r="C266" s="12"/>
      <c r="D266" s="12"/>
      <c r="E266" s="12"/>
    </row>
    <row r="267" spans="1:5">
      <c r="A267" s="12"/>
      <c r="B267" s="12"/>
      <c r="C267" s="12"/>
      <c r="D267" s="12"/>
      <c r="E267" s="12"/>
    </row>
    <row r="268" spans="1:5">
      <c r="A268" s="12"/>
      <c r="B268" s="12"/>
      <c r="C268" s="12"/>
      <c r="D268" s="12"/>
      <c r="E268" s="12"/>
    </row>
    <row r="269" spans="1:5">
      <c r="A269" s="12"/>
      <c r="B269" s="12"/>
      <c r="C269" s="12"/>
      <c r="D269" s="12"/>
      <c r="E269" s="12"/>
    </row>
    <row r="270" spans="1:5">
      <c r="A270" s="12"/>
      <c r="B270" s="12"/>
      <c r="C270" s="12"/>
      <c r="D270" s="12"/>
      <c r="E270" s="12"/>
    </row>
    <row r="271" spans="1:5">
      <c r="A271" s="12"/>
      <c r="B271" s="12"/>
      <c r="C271" s="12"/>
      <c r="D271" s="12"/>
      <c r="E271" s="12"/>
    </row>
    <row r="272" spans="1:5">
      <c r="A272" s="12"/>
      <c r="B272" s="12"/>
      <c r="C272" s="12"/>
      <c r="D272" s="12"/>
      <c r="E272" s="12"/>
    </row>
    <row r="273" spans="1:5">
      <c r="A273" s="12"/>
      <c r="B273" s="12"/>
      <c r="C273" s="12"/>
      <c r="D273" s="12"/>
      <c r="E273" s="12"/>
    </row>
    <row r="274" spans="1:5">
      <c r="A274" s="12"/>
      <c r="B274" s="12"/>
      <c r="C274" s="12"/>
      <c r="D274" s="12"/>
      <c r="E274" s="12"/>
    </row>
    <row r="275" spans="1:5">
      <c r="A275" s="12"/>
      <c r="B275" s="12"/>
      <c r="C275" s="12"/>
      <c r="D275" s="12"/>
      <c r="E275" s="12"/>
    </row>
    <row r="276" spans="1:5">
      <c r="A276" s="12"/>
      <c r="B276" s="12"/>
      <c r="C276" s="12"/>
      <c r="D276" s="12"/>
      <c r="E276" s="12"/>
    </row>
    <row r="277" spans="1:5">
      <c r="A277" s="12"/>
      <c r="B277" s="12"/>
      <c r="C277" s="12"/>
      <c r="D277" s="12"/>
      <c r="E277" s="12"/>
    </row>
    <row r="278" spans="1:5">
      <c r="A278" s="12"/>
      <c r="B278" s="12"/>
      <c r="C278" s="12"/>
      <c r="D278" s="12"/>
      <c r="E278" s="12"/>
    </row>
    <row r="279" spans="1:5">
      <c r="A279" s="12"/>
      <c r="B279" s="12"/>
      <c r="C279" s="12"/>
      <c r="D279" s="12"/>
      <c r="E279" s="12"/>
    </row>
    <row r="280" spans="1:5">
      <c r="A280" s="12"/>
      <c r="B280" s="12"/>
      <c r="C280" s="12"/>
      <c r="D280" s="12"/>
      <c r="E280" s="12"/>
    </row>
    <row r="281" spans="1:5">
      <c r="A281" s="12"/>
      <c r="B281" s="12"/>
      <c r="C281" s="12"/>
      <c r="D281" s="12"/>
      <c r="E281" s="12"/>
    </row>
    <row r="282" spans="1:5">
      <c r="A282" s="12"/>
      <c r="B282" s="12"/>
      <c r="C282" s="12"/>
      <c r="D282" s="12"/>
      <c r="E282" s="12"/>
    </row>
    <row r="283" spans="1:5">
      <c r="A283" s="12"/>
      <c r="B283" s="12"/>
      <c r="C283" s="12"/>
      <c r="D283" s="12"/>
      <c r="E283" s="12"/>
    </row>
    <row r="284" spans="1:5">
      <c r="A284" s="12"/>
      <c r="B284" s="12"/>
      <c r="C284" s="12"/>
      <c r="D284" s="12"/>
      <c r="E284" s="12"/>
    </row>
    <row r="285" spans="1:5">
      <c r="A285" s="12"/>
      <c r="B285" s="12"/>
      <c r="C285" s="12"/>
      <c r="D285" s="12"/>
      <c r="E285" s="12"/>
    </row>
    <row r="286" spans="1:5">
      <c r="A286" s="12"/>
      <c r="B286" s="12"/>
      <c r="C286" s="12"/>
      <c r="D286" s="12"/>
      <c r="E286" s="12"/>
    </row>
    <row r="287" spans="1:5">
      <c r="A287" s="12"/>
      <c r="B287" s="12"/>
      <c r="C287" s="12"/>
      <c r="D287" s="12"/>
      <c r="E287" s="12"/>
    </row>
    <row r="288" spans="1:5">
      <c r="A288" s="12"/>
      <c r="B288" s="12"/>
      <c r="C288" s="12"/>
      <c r="D288" s="12"/>
      <c r="E288" s="12"/>
    </row>
    <row r="289" spans="1:5">
      <c r="A289" s="12"/>
      <c r="B289" s="12"/>
      <c r="C289" s="12"/>
      <c r="D289" s="12"/>
      <c r="E289" s="12"/>
    </row>
    <row r="290" spans="1:5">
      <c r="A290" s="12"/>
      <c r="B290" s="12"/>
      <c r="C290" s="12"/>
      <c r="D290" s="12"/>
      <c r="E290" s="12"/>
    </row>
    <row r="291" spans="1:5">
      <c r="A291" s="12"/>
      <c r="B291" s="12"/>
      <c r="C291" s="12"/>
      <c r="D291" s="12"/>
      <c r="E291" s="12"/>
    </row>
    <row r="292" spans="1:5">
      <c r="A292" s="12"/>
      <c r="B292" s="12"/>
      <c r="C292" s="12"/>
      <c r="D292" s="12"/>
      <c r="E292" s="12"/>
    </row>
    <row r="293" spans="1:5">
      <c r="A293" s="12"/>
      <c r="B293" s="12"/>
      <c r="C293" s="12"/>
      <c r="D293" s="12"/>
      <c r="E293" s="12"/>
    </row>
    <row r="294" spans="1:5">
      <c r="A294" s="12"/>
      <c r="B294" s="12"/>
      <c r="C294" s="12"/>
      <c r="D294" s="12"/>
      <c r="E294" s="12"/>
    </row>
    <row r="295" spans="1:5">
      <c r="A295" s="12"/>
      <c r="B295" s="12"/>
      <c r="C295" s="12"/>
      <c r="D295" s="12"/>
      <c r="E295" s="12"/>
    </row>
    <row r="296" spans="1:5">
      <c r="A296" s="12"/>
      <c r="B296" s="12"/>
      <c r="C296" s="12"/>
      <c r="D296" s="12"/>
      <c r="E296" s="12"/>
    </row>
    <row r="297" spans="1:5">
      <c r="A297" s="12"/>
      <c r="B297" s="12"/>
      <c r="C297" s="12"/>
      <c r="D297" s="12"/>
      <c r="E297" s="12"/>
    </row>
    <row r="298" spans="1:5">
      <c r="A298" s="12"/>
      <c r="B298" s="12"/>
      <c r="C298" s="12"/>
      <c r="D298" s="12"/>
      <c r="E298" s="12"/>
    </row>
    <row r="299" spans="1:5">
      <c r="A299" s="12"/>
      <c r="B299" s="12"/>
      <c r="C299" s="12"/>
      <c r="D299" s="12"/>
      <c r="E299" s="12"/>
    </row>
    <row r="300" spans="1:5">
      <c r="A300" s="12"/>
      <c r="B300" s="12"/>
      <c r="C300" s="12"/>
      <c r="D300" s="12"/>
      <c r="E300" s="12"/>
    </row>
    <row r="301" spans="1:5">
      <c r="A301" s="12"/>
      <c r="B301" s="12"/>
      <c r="C301" s="12"/>
      <c r="D301" s="12"/>
      <c r="E301" s="12"/>
    </row>
    <row r="302" spans="1:5">
      <c r="A302" s="12"/>
      <c r="B302" s="12"/>
      <c r="C302" s="12"/>
      <c r="D302" s="12"/>
      <c r="E302" s="12"/>
    </row>
    <row r="303" spans="1:5">
      <c r="A303" s="12"/>
      <c r="B303" s="12"/>
      <c r="C303" s="12"/>
      <c r="D303" s="12"/>
      <c r="E303" s="12"/>
    </row>
    <row r="304" spans="1:5">
      <c r="A304" s="12"/>
      <c r="B304" s="12"/>
      <c r="C304" s="12"/>
      <c r="D304" s="12"/>
      <c r="E304" s="12"/>
    </row>
    <row r="305" spans="1:5">
      <c r="A305" s="12"/>
      <c r="B305" s="12"/>
      <c r="C305" s="12"/>
      <c r="D305" s="12"/>
      <c r="E305" s="12"/>
    </row>
    <row r="306" spans="1:5">
      <c r="A306" s="12"/>
      <c r="B306" s="12"/>
      <c r="C306" s="12"/>
      <c r="D306" s="12"/>
      <c r="E306" s="12"/>
    </row>
    <row r="307" spans="1:5">
      <c r="A307" s="12"/>
      <c r="B307" s="12"/>
      <c r="C307" s="12"/>
      <c r="D307" s="12"/>
      <c r="E307" s="12"/>
    </row>
    <row r="308" spans="1:5">
      <c r="A308" s="12"/>
      <c r="B308" s="12"/>
      <c r="C308" s="12"/>
      <c r="D308" s="12"/>
      <c r="E308" s="12"/>
    </row>
    <row r="309" spans="1:5">
      <c r="A309" s="12"/>
      <c r="B309" s="12"/>
      <c r="C309" s="12"/>
      <c r="D309" s="12"/>
      <c r="E309" s="12"/>
    </row>
    <row r="310" spans="1:5">
      <c r="A310" s="12"/>
      <c r="B310" s="12"/>
      <c r="C310" s="12"/>
      <c r="D310" s="12"/>
      <c r="E310" s="12"/>
    </row>
    <row r="311" spans="1:5">
      <c r="A311" s="12"/>
      <c r="B311" s="12"/>
      <c r="C311" s="12"/>
      <c r="D311" s="12"/>
      <c r="E311" s="12"/>
    </row>
    <row r="312" spans="1:5">
      <c r="A312" s="12"/>
      <c r="B312" s="12"/>
      <c r="C312" s="12"/>
      <c r="D312" s="12"/>
      <c r="E312" s="12"/>
    </row>
    <row r="313" spans="1:5">
      <c r="A313" s="12"/>
      <c r="B313" s="12"/>
      <c r="C313" s="12"/>
      <c r="D313" s="12"/>
      <c r="E313" s="12"/>
    </row>
    <row r="314" spans="1:5">
      <c r="A314" s="12"/>
      <c r="B314" s="12"/>
      <c r="C314" s="12"/>
      <c r="D314" s="12"/>
      <c r="E314" s="12"/>
    </row>
    <row r="315" spans="1:5">
      <c r="A315" s="12"/>
      <c r="B315" s="12"/>
      <c r="C315" s="12"/>
      <c r="D315" s="12"/>
      <c r="E315" s="12"/>
    </row>
    <row r="316" spans="1:5">
      <c r="A316" s="12"/>
      <c r="B316" s="12"/>
      <c r="C316" s="12"/>
      <c r="D316" s="12"/>
      <c r="E316" s="12"/>
    </row>
    <row r="317" spans="1:5">
      <c r="A317" s="12"/>
      <c r="B317" s="12"/>
      <c r="C317" s="12"/>
      <c r="D317" s="12"/>
      <c r="E317" s="12"/>
    </row>
    <row r="318" spans="1:5">
      <c r="A318" s="12"/>
      <c r="B318" s="12"/>
      <c r="C318" s="12"/>
      <c r="D318" s="12"/>
      <c r="E318" s="12"/>
    </row>
    <row r="319" spans="1:5">
      <c r="A319" s="12"/>
      <c r="B319" s="12"/>
      <c r="C319" s="12"/>
      <c r="D319" s="12"/>
      <c r="E319" s="12"/>
    </row>
    <row r="320" spans="1:5">
      <c r="A320" s="12"/>
      <c r="B320" s="12"/>
      <c r="C320" s="12"/>
      <c r="D320" s="12"/>
      <c r="E320" s="12"/>
    </row>
    <row r="321" spans="1:5">
      <c r="A321" s="12"/>
      <c r="B321" s="12"/>
      <c r="C321" s="12"/>
      <c r="D321" s="12"/>
      <c r="E321" s="12"/>
    </row>
    <row r="322" spans="1:5">
      <c r="A322" s="12"/>
      <c r="B322" s="12"/>
      <c r="C322" s="12"/>
      <c r="D322" s="12"/>
      <c r="E322" s="12"/>
    </row>
    <row r="323" spans="1:5">
      <c r="A323" s="12"/>
      <c r="B323" s="12"/>
      <c r="C323" s="12"/>
      <c r="D323" s="12"/>
      <c r="E323" s="12"/>
    </row>
    <row r="324" spans="1:5">
      <c r="A324" s="12"/>
      <c r="B324" s="12"/>
      <c r="C324" s="12"/>
      <c r="D324" s="12"/>
      <c r="E324" s="12"/>
    </row>
    <row r="325" spans="1:5">
      <c r="A325" s="12"/>
      <c r="B325" s="12"/>
      <c r="C325" s="12"/>
      <c r="D325" s="12"/>
      <c r="E325" s="12"/>
    </row>
    <row r="326" spans="1:5">
      <c r="A326" s="12"/>
      <c r="B326" s="12"/>
      <c r="C326" s="12"/>
      <c r="D326" s="12"/>
      <c r="E326" s="12"/>
    </row>
    <row r="327" spans="1:5">
      <c r="A327" s="12"/>
      <c r="B327" s="12"/>
      <c r="C327" s="12"/>
      <c r="D327" s="12"/>
      <c r="E327" s="12"/>
    </row>
    <row r="328" spans="1:5">
      <c r="A328" s="12"/>
      <c r="B328" s="12"/>
      <c r="C328" s="12"/>
      <c r="D328" s="12"/>
      <c r="E328" s="12"/>
    </row>
    <row r="329" spans="1:5">
      <c r="A329" s="12"/>
      <c r="B329" s="12"/>
      <c r="C329" s="12"/>
      <c r="D329" s="12"/>
      <c r="E329" s="12"/>
    </row>
    <row r="330" spans="1:5">
      <c r="A330" s="12"/>
      <c r="B330" s="12"/>
      <c r="C330" s="12"/>
      <c r="D330" s="12"/>
      <c r="E330" s="12"/>
    </row>
    <row r="331" spans="1:5">
      <c r="A331" s="12"/>
      <c r="B331" s="12"/>
      <c r="C331" s="12"/>
      <c r="D331" s="12"/>
      <c r="E331" s="12"/>
    </row>
    <row r="332" spans="1:5">
      <c r="A332" s="12"/>
      <c r="B332" s="12"/>
      <c r="C332" s="12"/>
      <c r="D332" s="12"/>
      <c r="E332" s="12"/>
    </row>
    <row r="333" spans="1:5">
      <c r="A333" s="12"/>
      <c r="B333" s="12"/>
      <c r="C333" s="12"/>
      <c r="D333" s="12"/>
      <c r="E333" s="12"/>
    </row>
    <row r="334" spans="1:5">
      <c r="A334" s="12"/>
      <c r="B334" s="12"/>
      <c r="C334" s="12"/>
      <c r="D334" s="12"/>
      <c r="E334" s="12"/>
    </row>
    <row r="335" spans="1:5">
      <c r="A335" s="12"/>
      <c r="B335" s="12"/>
      <c r="C335" s="12"/>
      <c r="D335" s="12"/>
      <c r="E335" s="12"/>
    </row>
    <row r="336" spans="1:5">
      <c r="A336" s="12"/>
      <c r="B336" s="12"/>
      <c r="C336" s="12"/>
      <c r="D336" s="12"/>
      <c r="E336" s="12"/>
    </row>
    <row r="337" spans="1:5">
      <c r="A337" s="12"/>
      <c r="B337" s="12"/>
      <c r="C337" s="12"/>
      <c r="D337" s="12"/>
      <c r="E337" s="12"/>
    </row>
    <row r="338" spans="1:5">
      <c r="A338" s="12"/>
      <c r="B338" s="12"/>
      <c r="C338" s="12"/>
      <c r="D338" s="12"/>
      <c r="E338" s="12"/>
    </row>
    <row r="339" spans="1:5">
      <c r="A339" s="12"/>
      <c r="B339" s="12"/>
      <c r="C339" s="12"/>
      <c r="D339" s="12"/>
      <c r="E339" s="12"/>
    </row>
    <row r="340" spans="1:5">
      <c r="A340" s="12"/>
      <c r="B340" s="12"/>
      <c r="C340" s="12"/>
      <c r="D340" s="12"/>
      <c r="E340" s="12"/>
    </row>
    <row r="341" spans="1:5">
      <c r="A341" s="12"/>
      <c r="B341" s="12"/>
      <c r="C341" s="12"/>
      <c r="D341" s="12"/>
      <c r="E341" s="12"/>
    </row>
    <row r="342" spans="1:5">
      <c r="A342" s="12"/>
      <c r="B342" s="12"/>
      <c r="C342" s="12"/>
      <c r="D342" s="12"/>
      <c r="E342" s="12"/>
    </row>
    <row r="343" spans="1:5">
      <c r="A343" s="12"/>
      <c r="B343" s="12"/>
      <c r="C343" s="12"/>
      <c r="D343" s="12"/>
      <c r="E343" s="12"/>
    </row>
    <row r="344" spans="1:5">
      <c r="A344" s="12"/>
      <c r="B344" s="12"/>
      <c r="C344" s="12"/>
      <c r="D344" s="12"/>
      <c r="E344" s="12"/>
    </row>
    <row r="345" spans="1:5">
      <c r="A345" s="12"/>
      <c r="B345" s="12"/>
      <c r="C345" s="12"/>
      <c r="D345" s="12"/>
      <c r="E345" s="12"/>
    </row>
    <row r="346" spans="1:5">
      <c r="A346" s="12"/>
      <c r="B346" s="12"/>
      <c r="C346" s="12"/>
      <c r="D346" s="12"/>
      <c r="E346" s="12"/>
    </row>
    <row r="347" spans="1:5">
      <c r="A347" s="12"/>
      <c r="B347" s="12"/>
      <c r="C347" s="12"/>
      <c r="D347" s="12"/>
      <c r="E347" s="12"/>
    </row>
    <row r="348" spans="1:5">
      <c r="A348" s="12"/>
      <c r="B348" s="12"/>
      <c r="C348" s="12"/>
      <c r="D348" s="12"/>
      <c r="E348" s="12"/>
    </row>
    <row r="349" spans="1:5">
      <c r="A349" s="12"/>
      <c r="B349" s="12"/>
      <c r="C349" s="12"/>
      <c r="D349" s="12"/>
      <c r="E349" s="12"/>
    </row>
    <row r="350" spans="1:5">
      <c r="A350" s="12"/>
      <c r="B350" s="12"/>
      <c r="C350" s="12"/>
      <c r="D350" s="12"/>
      <c r="E350" s="12"/>
    </row>
    <row r="351" spans="1:5">
      <c r="A351" s="12"/>
      <c r="B351" s="12"/>
      <c r="C351" s="12"/>
      <c r="D351" s="12"/>
      <c r="E351" s="12"/>
    </row>
    <row r="352" spans="1:5">
      <c r="A352" s="12"/>
      <c r="B352" s="12"/>
      <c r="C352" s="12"/>
      <c r="D352" s="12"/>
      <c r="E352" s="12"/>
    </row>
    <row r="353" spans="1:5">
      <c r="A353" s="12"/>
      <c r="B353" s="12"/>
      <c r="C353" s="12"/>
      <c r="D353" s="12"/>
      <c r="E353" s="12"/>
    </row>
    <row r="354" spans="1:5">
      <c r="A354" s="12"/>
      <c r="B354" s="12"/>
      <c r="C354" s="12"/>
      <c r="D354" s="12"/>
      <c r="E354" s="12"/>
    </row>
    <row r="355" spans="1:5">
      <c r="A355" s="12"/>
      <c r="B355" s="12"/>
      <c r="C355" s="12"/>
      <c r="D355" s="12"/>
      <c r="E355" s="12"/>
    </row>
    <row r="356" spans="1:5">
      <c r="A356" s="12"/>
      <c r="B356" s="12"/>
      <c r="C356" s="12"/>
      <c r="D356" s="12"/>
      <c r="E356" s="12"/>
    </row>
    <row r="357" spans="1:5">
      <c r="A357" s="12"/>
      <c r="B357" s="12"/>
      <c r="C357" s="12"/>
      <c r="D357" s="12"/>
      <c r="E357" s="12"/>
    </row>
    <row r="358" spans="1:5">
      <c r="A358" s="12"/>
      <c r="B358" s="12"/>
      <c r="C358" s="12"/>
      <c r="D358" s="12"/>
      <c r="E358" s="12"/>
    </row>
    <row r="359" spans="1:5">
      <c r="A359" s="12"/>
      <c r="B359" s="12"/>
      <c r="C359" s="12"/>
      <c r="D359" s="12"/>
      <c r="E359" s="12"/>
    </row>
    <row r="360" spans="1:5">
      <c r="A360" s="12"/>
      <c r="B360" s="12"/>
      <c r="C360" s="12"/>
      <c r="D360" s="12"/>
      <c r="E360" s="12"/>
    </row>
    <row r="361" spans="1:5">
      <c r="A361" s="12"/>
      <c r="B361" s="12"/>
      <c r="C361" s="12"/>
      <c r="D361" s="12"/>
      <c r="E361" s="12"/>
    </row>
    <row r="362" spans="1:5">
      <c r="A362" s="12"/>
      <c r="B362" s="12"/>
      <c r="C362" s="12"/>
      <c r="D362" s="12"/>
      <c r="E362" s="12"/>
    </row>
    <row r="363" spans="1:5">
      <c r="A363" s="12"/>
      <c r="B363" s="12"/>
      <c r="C363" s="12"/>
      <c r="D363" s="12"/>
      <c r="E363" s="12"/>
    </row>
    <row r="364" spans="1:5">
      <c r="A364" s="12"/>
      <c r="B364" s="12"/>
      <c r="C364" s="12"/>
      <c r="D364" s="12"/>
      <c r="E364" s="12"/>
    </row>
    <row r="365" spans="1:5">
      <c r="A365" s="12"/>
      <c r="B365" s="12"/>
      <c r="C365" s="12"/>
      <c r="D365" s="12"/>
      <c r="E365" s="12"/>
    </row>
    <row r="366" spans="1:5">
      <c r="A366" s="12"/>
      <c r="B366" s="12"/>
      <c r="C366" s="12"/>
      <c r="D366" s="12"/>
      <c r="E366" s="12"/>
    </row>
    <row r="367" spans="1:5">
      <c r="A367" s="12"/>
      <c r="B367" s="12"/>
      <c r="C367" s="12"/>
      <c r="D367" s="12"/>
      <c r="E367" s="12"/>
    </row>
    <row r="368" spans="1:5">
      <c r="A368" s="12"/>
      <c r="B368" s="12"/>
      <c r="C368" s="12"/>
      <c r="D368" s="12"/>
      <c r="E368" s="12"/>
    </row>
    <row r="369" spans="1:5">
      <c r="A369" s="12"/>
      <c r="B369" s="12"/>
      <c r="C369" s="12"/>
      <c r="D369" s="12"/>
      <c r="E369" s="12"/>
    </row>
    <row r="370" spans="1:5">
      <c r="A370" s="12"/>
      <c r="B370" s="12"/>
      <c r="C370" s="12"/>
      <c r="D370" s="12"/>
      <c r="E370" s="12"/>
    </row>
    <row r="371" spans="1:5">
      <c r="A371" s="12"/>
      <c r="B371" s="12"/>
      <c r="C371" s="12"/>
      <c r="D371" s="12"/>
      <c r="E371" s="12"/>
    </row>
    <row r="372" spans="1:5">
      <c r="A372" s="12"/>
      <c r="B372" s="12"/>
      <c r="C372" s="12"/>
      <c r="D372" s="12"/>
      <c r="E372" s="12"/>
    </row>
    <row r="373" spans="1:5">
      <c r="A373" s="12"/>
      <c r="B373" s="12"/>
      <c r="C373" s="12"/>
      <c r="D373" s="12"/>
      <c r="E373" s="12"/>
    </row>
    <row r="374" spans="1:5">
      <c r="A374" s="12"/>
      <c r="B374" s="12"/>
      <c r="C374" s="12"/>
      <c r="D374" s="12"/>
      <c r="E374" s="12"/>
    </row>
    <row r="375" spans="1:5">
      <c r="A375" s="12"/>
      <c r="B375" s="12"/>
      <c r="C375" s="12"/>
      <c r="D375" s="12"/>
      <c r="E375" s="12"/>
    </row>
    <row r="376" spans="1:5">
      <c r="A376" s="12"/>
      <c r="B376" s="12"/>
      <c r="C376" s="12"/>
      <c r="D376" s="12"/>
      <c r="E376" s="12"/>
    </row>
    <row r="377" spans="1:5">
      <c r="A377" s="12"/>
      <c r="B377" s="12"/>
      <c r="C377" s="12"/>
      <c r="D377" s="12"/>
      <c r="E377" s="12"/>
    </row>
    <row r="378" spans="1:5">
      <c r="A378" s="12"/>
      <c r="B378" s="12"/>
      <c r="C378" s="12"/>
      <c r="D378" s="12"/>
      <c r="E378" s="12"/>
    </row>
    <row r="379" spans="1:5">
      <c r="A379" s="12"/>
      <c r="B379" s="12"/>
      <c r="C379" s="12"/>
      <c r="D379" s="12"/>
      <c r="E379" s="12"/>
    </row>
    <row r="380" spans="1:5">
      <c r="A380" s="12"/>
      <c r="B380" s="12"/>
      <c r="C380" s="12"/>
      <c r="D380" s="12"/>
      <c r="E380" s="12"/>
    </row>
    <row r="381" spans="1:5">
      <c r="A381" s="12"/>
      <c r="B381" s="12"/>
      <c r="C381" s="12"/>
      <c r="D381" s="12"/>
      <c r="E381" s="12"/>
    </row>
    <row r="382" spans="1:5">
      <c r="A382" s="12"/>
      <c r="B382" s="12"/>
      <c r="C382" s="12"/>
      <c r="D382" s="12"/>
      <c r="E382" s="12"/>
    </row>
    <row r="383" spans="1:5">
      <c r="A383" s="12"/>
      <c r="B383" s="12"/>
      <c r="C383" s="12"/>
      <c r="D383" s="12"/>
      <c r="E383" s="12"/>
    </row>
    <row r="384" spans="1:5">
      <c r="A384" s="12"/>
      <c r="B384" s="12"/>
      <c r="C384" s="12"/>
      <c r="D384" s="12"/>
      <c r="E384" s="12"/>
    </row>
    <row r="385" spans="1:5">
      <c r="A385" s="12"/>
      <c r="B385" s="12"/>
      <c r="C385" s="12"/>
      <c r="D385" s="12"/>
      <c r="E385" s="12"/>
    </row>
    <row r="386" spans="1:5">
      <c r="A386" s="12"/>
      <c r="B386" s="12"/>
      <c r="C386" s="12"/>
      <c r="D386" s="12"/>
      <c r="E386" s="12"/>
    </row>
    <row r="387" spans="1:5">
      <c r="A387" s="12"/>
      <c r="B387" s="12"/>
      <c r="C387" s="12"/>
      <c r="D387" s="12"/>
      <c r="E387" s="12"/>
    </row>
    <row r="388" spans="1:5">
      <c r="A388" s="12"/>
      <c r="B388" s="12"/>
      <c r="C388" s="12"/>
      <c r="D388" s="12"/>
      <c r="E388" s="12"/>
    </row>
    <row r="389" spans="1:5">
      <c r="A389" s="12"/>
      <c r="B389" s="12"/>
      <c r="C389" s="12"/>
      <c r="D389" s="12"/>
      <c r="E389" s="12"/>
    </row>
    <row r="390" spans="1:5">
      <c r="A390" s="12"/>
      <c r="B390" s="12"/>
      <c r="C390" s="12"/>
      <c r="D390" s="12"/>
      <c r="E390" s="12"/>
    </row>
    <row r="391" spans="1:5">
      <c r="A391" s="12"/>
      <c r="B391" s="12"/>
      <c r="C391" s="12"/>
      <c r="D391" s="12"/>
      <c r="E391" s="12"/>
    </row>
    <row r="392" spans="1:5">
      <c r="A392" s="12"/>
      <c r="B392" s="12"/>
      <c r="C392" s="12"/>
      <c r="D392" s="12"/>
      <c r="E392" s="12"/>
    </row>
    <row r="393" spans="1:5">
      <c r="A393" s="12"/>
      <c r="B393" s="12"/>
      <c r="C393" s="12"/>
      <c r="D393" s="12"/>
      <c r="E393" s="12"/>
    </row>
    <row r="394" spans="1:5">
      <c r="A394" s="12"/>
      <c r="B394" s="12"/>
      <c r="C394" s="12"/>
      <c r="D394" s="12"/>
      <c r="E394" s="12"/>
    </row>
    <row r="395" spans="1:5">
      <c r="A395" s="12"/>
      <c r="B395" s="12"/>
      <c r="C395" s="12"/>
      <c r="D395" s="12"/>
      <c r="E395" s="12"/>
    </row>
    <row r="396" spans="1:5">
      <c r="A396" s="12"/>
      <c r="B396" s="12"/>
      <c r="C396" s="12"/>
      <c r="D396" s="12"/>
      <c r="E396" s="12"/>
    </row>
    <row r="397" spans="1:5">
      <c r="A397" s="12"/>
      <c r="B397" s="12"/>
      <c r="C397" s="12"/>
      <c r="D397" s="12"/>
      <c r="E397" s="12"/>
    </row>
    <row r="398" spans="1:5">
      <c r="A398" s="12"/>
      <c r="B398" s="12"/>
      <c r="C398" s="12"/>
      <c r="D398" s="12"/>
      <c r="E398" s="12"/>
    </row>
    <row r="399" spans="1:5">
      <c r="A399" s="12"/>
      <c r="B399" s="12"/>
      <c r="C399" s="12"/>
      <c r="D399" s="12"/>
      <c r="E399" s="12"/>
    </row>
    <row r="400" spans="1:5">
      <c r="A400" s="12"/>
      <c r="B400" s="12"/>
      <c r="C400" s="12"/>
      <c r="D400" s="12"/>
      <c r="E400" s="12"/>
    </row>
    <row r="401" spans="1:5">
      <c r="A401" s="12"/>
      <c r="B401" s="12"/>
      <c r="C401" s="12"/>
      <c r="D401" s="12"/>
      <c r="E401" s="12"/>
    </row>
    <row r="402" spans="1:5">
      <c r="A402" s="12"/>
      <c r="B402" s="12"/>
      <c r="C402" s="12"/>
      <c r="D402" s="12"/>
      <c r="E402" s="12"/>
    </row>
    <row r="403" spans="1:5">
      <c r="A403" s="12"/>
      <c r="B403" s="12"/>
      <c r="C403" s="12"/>
      <c r="D403" s="12"/>
      <c r="E403" s="12"/>
    </row>
    <row r="404" spans="1:5">
      <c r="A404" s="12"/>
      <c r="B404" s="12"/>
      <c r="C404" s="12"/>
      <c r="D404" s="12"/>
      <c r="E404" s="12"/>
    </row>
    <row r="405" spans="1:5">
      <c r="A405" s="12"/>
      <c r="B405" s="12"/>
      <c r="C405" s="12"/>
      <c r="D405" s="12"/>
      <c r="E405" s="12"/>
    </row>
    <row r="406" spans="1:5">
      <c r="A406" s="12"/>
      <c r="B406" s="12"/>
      <c r="C406" s="12"/>
      <c r="D406" s="12"/>
      <c r="E406" s="12"/>
    </row>
    <row r="407" spans="1:5">
      <c r="A407" s="12"/>
      <c r="B407" s="12"/>
      <c r="C407" s="12"/>
      <c r="D407" s="12"/>
      <c r="E407" s="12"/>
    </row>
    <row r="408" spans="1:5">
      <c r="A408" s="12"/>
      <c r="B408" s="12"/>
      <c r="C408" s="12"/>
      <c r="D408" s="12"/>
      <c r="E408" s="12"/>
    </row>
    <row r="409" spans="1:5">
      <c r="A409" s="12"/>
      <c r="B409" s="12"/>
      <c r="C409" s="12"/>
      <c r="D409" s="12"/>
      <c r="E409" s="12"/>
    </row>
    <row r="410" spans="1:5">
      <c r="A410" s="12"/>
      <c r="B410" s="12"/>
      <c r="C410" s="12"/>
      <c r="D410" s="12"/>
      <c r="E410" s="12"/>
    </row>
    <row r="411" spans="1:5">
      <c r="A411" s="12"/>
      <c r="B411" s="12"/>
      <c r="C411" s="12"/>
      <c r="D411" s="12"/>
      <c r="E411" s="12"/>
    </row>
    <row r="412" spans="1:5">
      <c r="A412" s="12"/>
      <c r="B412" s="12"/>
      <c r="C412" s="12"/>
      <c r="D412" s="12"/>
      <c r="E412" s="12"/>
    </row>
    <row r="413" spans="1:5">
      <c r="A413" s="12"/>
      <c r="B413" s="12"/>
      <c r="C413" s="12"/>
      <c r="D413" s="12"/>
      <c r="E413" s="12"/>
    </row>
    <row r="414" spans="1:5">
      <c r="A414" s="12"/>
      <c r="B414" s="12"/>
      <c r="C414" s="12"/>
      <c r="D414" s="12"/>
      <c r="E414" s="12"/>
    </row>
    <row r="415" spans="1:5">
      <c r="A415" s="12"/>
      <c r="B415" s="12"/>
      <c r="C415" s="12"/>
      <c r="D415" s="12"/>
      <c r="E415" s="12"/>
    </row>
    <row r="416" spans="1:5">
      <c r="A416" s="12"/>
      <c r="B416" s="12"/>
      <c r="C416" s="12"/>
      <c r="D416" s="12"/>
      <c r="E416" s="12"/>
    </row>
    <row r="417" spans="1:5">
      <c r="A417" s="12"/>
      <c r="B417" s="12"/>
      <c r="C417" s="12"/>
      <c r="D417" s="12"/>
      <c r="E417" s="12"/>
    </row>
    <row r="418" spans="1:5">
      <c r="A418" s="12"/>
      <c r="B418" s="12"/>
      <c r="C418" s="12"/>
      <c r="D418" s="12"/>
      <c r="E418" s="12"/>
    </row>
    <row r="419" spans="1:5">
      <c r="A419" s="12"/>
      <c r="B419" s="12"/>
      <c r="C419" s="12"/>
      <c r="D419" s="12"/>
      <c r="E419" s="12"/>
    </row>
    <row r="420" spans="1:5">
      <c r="A420" s="12"/>
      <c r="B420" s="12"/>
      <c r="C420" s="12"/>
      <c r="D420" s="12"/>
      <c r="E420" s="12"/>
    </row>
    <row r="421" spans="1:5">
      <c r="A421" s="12"/>
      <c r="B421" s="12"/>
      <c r="C421" s="12"/>
      <c r="D421" s="12"/>
      <c r="E421" s="12"/>
    </row>
    <row r="422" spans="1:5">
      <c r="A422" s="12"/>
      <c r="B422" s="12"/>
      <c r="C422" s="12"/>
      <c r="D422" s="12"/>
      <c r="E422" s="12"/>
    </row>
    <row r="423" spans="1:5">
      <c r="A423" s="12"/>
      <c r="B423" s="12"/>
      <c r="C423" s="12"/>
      <c r="D423" s="12"/>
      <c r="E423" s="12"/>
    </row>
    <row r="424" spans="1:5">
      <c r="A424" s="12"/>
      <c r="B424" s="12"/>
      <c r="C424" s="12"/>
      <c r="D424" s="12"/>
      <c r="E424" s="12"/>
    </row>
    <row r="425" spans="1:5">
      <c r="A425" s="12"/>
      <c r="B425" s="12"/>
      <c r="C425" s="12"/>
      <c r="D425" s="12"/>
      <c r="E425" s="12"/>
    </row>
    <row r="426" spans="1:5">
      <c r="A426" s="12"/>
      <c r="B426" s="12"/>
      <c r="C426" s="12"/>
      <c r="D426" s="12"/>
      <c r="E426" s="12"/>
    </row>
    <row r="427" spans="1:5">
      <c r="A427" s="12"/>
      <c r="B427" s="12"/>
      <c r="C427" s="12"/>
      <c r="D427" s="12"/>
      <c r="E427" s="12"/>
    </row>
    <row r="428" spans="1:5">
      <c r="A428" s="12"/>
      <c r="B428" s="12"/>
      <c r="C428" s="12"/>
      <c r="D428" s="12"/>
      <c r="E428" s="12"/>
    </row>
    <row r="429" spans="1:5">
      <c r="A429" s="12"/>
      <c r="B429" s="12"/>
      <c r="C429" s="12"/>
      <c r="D429" s="12"/>
      <c r="E429" s="12"/>
    </row>
    <row r="430" spans="1:5">
      <c r="A430" s="12"/>
      <c r="B430" s="12"/>
      <c r="C430" s="12"/>
      <c r="D430" s="12"/>
      <c r="E430" s="12"/>
    </row>
    <row r="431" spans="1:5">
      <c r="A431" s="12"/>
      <c r="B431" s="12"/>
      <c r="C431" s="12"/>
      <c r="D431" s="12"/>
      <c r="E431" s="12"/>
    </row>
    <row r="432" spans="1:5">
      <c r="A432" s="12"/>
      <c r="B432" s="12"/>
      <c r="C432" s="12"/>
      <c r="D432" s="12"/>
      <c r="E432" s="12"/>
    </row>
    <row r="433" spans="1:5">
      <c r="A433" s="12"/>
      <c r="B433" s="12"/>
      <c r="C433" s="12"/>
      <c r="D433" s="12"/>
      <c r="E433" s="12"/>
    </row>
    <row r="434" spans="1:5">
      <c r="A434" s="12"/>
      <c r="B434" s="12"/>
      <c r="C434" s="12"/>
      <c r="D434" s="12"/>
      <c r="E434" s="12"/>
    </row>
    <row r="435" spans="1:5">
      <c r="A435" s="12"/>
      <c r="B435" s="12"/>
      <c r="C435" s="12"/>
      <c r="D435" s="12"/>
      <c r="E435" s="12"/>
    </row>
    <row r="436" spans="1:5">
      <c r="A436" s="12"/>
      <c r="B436" s="12"/>
      <c r="C436" s="12"/>
      <c r="D436" s="12"/>
      <c r="E436" s="12"/>
    </row>
    <row r="437" spans="1:5">
      <c r="A437" s="12"/>
      <c r="B437" s="12"/>
      <c r="C437" s="12"/>
      <c r="D437" s="12"/>
      <c r="E437" s="12"/>
    </row>
    <row r="438" spans="1:5">
      <c r="A438" s="12"/>
      <c r="B438" s="12"/>
      <c r="C438" s="12"/>
      <c r="D438" s="12"/>
      <c r="E438" s="12"/>
    </row>
    <row r="439" spans="1:5">
      <c r="A439" s="12"/>
      <c r="B439" s="12"/>
      <c r="C439" s="12"/>
      <c r="D439" s="12"/>
      <c r="E439" s="12"/>
    </row>
    <row r="440" spans="1:5">
      <c r="A440" s="12"/>
      <c r="B440" s="12"/>
      <c r="C440" s="12"/>
      <c r="D440" s="12"/>
      <c r="E440" s="12"/>
    </row>
    <row r="441" spans="1:5">
      <c r="A441" s="12"/>
      <c r="B441" s="12"/>
      <c r="C441" s="12"/>
      <c r="D441" s="12"/>
      <c r="E441" s="12"/>
    </row>
    <row r="442" spans="1:5">
      <c r="A442" s="12"/>
      <c r="B442" s="12"/>
      <c r="C442" s="12"/>
      <c r="D442" s="12"/>
      <c r="E442" s="12"/>
    </row>
    <row r="443" spans="1:5">
      <c r="A443" s="12"/>
      <c r="B443" s="12"/>
      <c r="C443" s="12"/>
      <c r="D443" s="12"/>
      <c r="E443" s="12"/>
    </row>
    <row r="444" spans="1:5">
      <c r="A444" s="12"/>
      <c r="B444" s="12"/>
      <c r="C444" s="12"/>
      <c r="D444" s="12"/>
      <c r="E444" s="12"/>
    </row>
    <row r="445" spans="1:5">
      <c r="A445" s="12"/>
      <c r="B445" s="12"/>
      <c r="C445" s="12"/>
      <c r="D445" s="12"/>
      <c r="E445" s="12"/>
    </row>
    <row r="446" spans="1:5">
      <c r="A446" s="12"/>
      <c r="B446" s="12"/>
      <c r="C446" s="12"/>
      <c r="D446" s="12"/>
      <c r="E446" s="12"/>
    </row>
    <row r="447" spans="1:5">
      <c r="A447" s="12"/>
      <c r="B447" s="12"/>
      <c r="C447" s="12"/>
      <c r="D447" s="12"/>
      <c r="E447" s="12"/>
    </row>
    <row r="448" spans="1:5">
      <c r="A448" s="12"/>
      <c r="B448" s="12"/>
      <c r="C448" s="12"/>
      <c r="D448" s="12"/>
      <c r="E448" s="12"/>
    </row>
    <row r="449" spans="1:5">
      <c r="A449" s="12"/>
      <c r="B449" s="12"/>
      <c r="C449" s="12"/>
      <c r="D449" s="12"/>
      <c r="E449" s="12"/>
    </row>
    <row r="450" spans="1:5">
      <c r="A450" s="12"/>
      <c r="B450" s="12"/>
      <c r="C450" s="12"/>
      <c r="D450" s="12"/>
      <c r="E450" s="12"/>
    </row>
    <row r="451" spans="1:5">
      <c r="A451" s="12"/>
      <c r="B451" s="12"/>
      <c r="C451" s="12"/>
      <c r="D451" s="12"/>
      <c r="E451" s="12"/>
    </row>
    <row r="452" spans="1:5">
      <c r="A452" s="12"/>
      <c r="B452" s="12"/>
      <c r="C452" s="12"/>
      <c r="D452" s="12"/>
      <c r="E452" s="12"/>
    </row>
    <row r="453" spans="1:5">
      <c r="A453" s="12"/>
      <c r="B453" s="12"/>
      <c r="C453" s="12"/>
      <c r="D453" s="12"/>
      <c r="E453" s="12"/>
    </row>
    <row r="454" spans="1:5">
      <c r="A454" s="12"/>
      <c r="B454" s="12"/>
      <c r="C454" s="12"/>
      <c r="D454" s="12"/>
      <c r="E454" s="12"/>
    </row>
    <row r="455" spans="1:5">
      <c r="A455" s="12"/>
      <c r="B455" s="12"/>
      <c r="C455" s="12"/>
      <c r="D455" s="12"/>
      <c r="E455" s="12"/>
    </row>
    <row r="456" spans="1:5">
      <c r="A456" s="12"/>
      <c r="B456" s="12"/>
      <c r="C456" s="12"/>
      <c r="D456" s="12"/>
      <c r="E456" s="12"/>
    </row>
    <row r="457" spans="1:5">
      <c r="A457" s="12"/>
      <c r="B457" s="12"/>
      <c r="C457" s="12"/>
      <c r="D457" s="12"/>
      <c r="E457" s="12"/>
    </row>
    <row r="458" spans="1:5">
      <c r="A458" s="12"/>
      <c r="B458" s="12"/>
      <c r="C458" s="12"/>
      <c r="D458" s="12"/>
      <c r="E458" s="12"/>
    </row>
    <row r="459" spans="1:5">
      <c r="A459" s="12"/>
      <c r="B459" s="12"/>
      <c r="C459" s="12"/>
      <c r="D459" s="12"/>
      <c r="E459" s="12"/>
    </row>
    <row r="460" spans="1:5">
      <c r="A460" s="12"/>
      <c r="B460" s="12"/>
      <c r="C460" s="12"/>
      <c r="D460" s="12"/>
      <c r="E460" s="12"/>
    </row>
    <row r="461" spans="1:5">
      <c r="A461" s="12"/>
      <c r="B461" s="12"/>
      <c r="C461" s="12"/>
      <c r="D461" s="12"/>
      <c r="E461" s="12"/>
    </row>
    <row r="462" spans="1:5">
      <c r="A462" s="12"/>
      <c r="B462" s="12"/>
      <c r="C462" s="12"/>
      <c r="D462" s="12"/>
      <c r="E462" s="12"/>
    </row>
    <row r="463" spans="1:5">
      <c r="A463" s="12"/>
      <c r="B463" s="12"/>
      <c r="C463" s="12"/>
      <c r="D463" s="12"/>
      <c r="E463" s="12"/>
    </row>
    <row r="464" spans="1:5">
      <c r="A464" s="12"/>
      <c r="B464" s="12"/>
      <c r="C464" s="12"/>
      <c r="D464" s="12"/>
      <c r="E464" s="12"/>
    </row>
    <row r="465" spans="1:5">
      <c r="A465" s="12"/>
      <c r="B465" s="12"/>
      <c r="C465" s="12"/>
      <c r="D465" s="12"/>
      <c r="E465" s="12"/>
    </row>
    <row r="466" spans="1:5">
      <c r="A466" s="12"/>
      <c r="B466" s="12"/>
      <c r="C466" s="12"/>
      <c r="D466" s="12"/>
      <c r="E466" s="12"/>
    </row>
    <row r="467" spans="1:5">
      <c r="A467" s="12"/>
      <c r="B467" s="12"/>
      <c r="C467" s="12"/>
      <c r="D467" s="12"/>
      <c r="E467" s="12"/>
    </row>
    <row r="468" spans="1:5">
      <c r="A468" s="12"/>
      <c r="B468" s="12"/>
      <c r="C468" s="12"/>
      <c r="D468" s="12"/>
      <c r="E468" s="12"/>
    </row>
    <row r="469" spans="1:5">
      <c r="A469" s="12"/>
      <c r="B469" s="12"/>
      <c r="C469" s="12"/>
      <c r="D469" s="12"/>
      <c r="E469" s="12"/>
    </row>
    <row r="470" spans="1:5">
      <c r="A470" s="12"/>
      <c r="B470" s="12"/>
      <c r="C470" s="12"/>
      <c r="D470" s="12"/>
      <c r="E470" s="12"/>
    </row>
    <row r="471" spans="1:5">
      <c r="A471" s="12"/>
      <c r="B471" s="12"/>
      <c r="C471" s="12"/>
      <c r="D471" s="12"/>
      <c r="E471" s="12"/>
    </row>
    <row r="472" spans="1:5">
      <c r="A472" s="12"/>
      <c r="B472" s="12"/>
      <c r="C472" s="12"/>
      <c r="D472" s="12"/>
      <c r="E472" s="12"/>
    </row>
    <row r="473" spans="1:5">
      <c r="A473" s="12"/>
      <c r="B473" s="12"/>
      <c r="C473" s="12"/>
      <c r="D473" s="12"/>
      <c r="E473" s="12"/>
    </row>
    <row r="474" spans="1:5">
      <c r="A474" s="12"/>
      <c r="B474" s="12"/>
      <c r="C474" s="12"/>
      <c r="D474" s="12"/>
      <c r="E474" s="12"/>
    </row>
    <row r="475" spans="1:5">
      <c r="A475" s="12"/>
      <c r="B475" s="12"/>
      <c r="C475" s="12"/>
      <c r="D475" s="12"/>
      <c r="E475" s="12"/>
    </row>
    <row r="476" spans="1:5">
      <c r="A476" s="12"/>
      <c r="B476" s="12"/>
      <c r="C476" s="12"/>
      <c r="D476" s="12"/>
      <c r="E476" s="12"/>
    </row>
    <row r="477" spans="1:5">
      <c r="A477" s="12"/>
      <c r="B477" s="12"/>
      <c r="C477" s="12"/>
      <c r="D477" s="12"/>
      <c r="E477" s="12"/>
    </row>
    <row r="478" spans="1:5">
      <c r="A478" s="12"/>
      <c r="B478" s="12"/>
      <c r="C478" s="12"/>
      <c r="D478" s="12"/>
      <c r="E478" s="12"/>
    </row>
    <row r="479" spans="1:5">
      <c r="A479" s="12"/>
      <c r="B479" s="12"/>
      <c r="C479" s="12"/>
      <c r="D479" s="12"/>
      <c r="E479" s="12"/>
    </row>
    <row r="480" spans="1:5">
      <c r="A480" s="12"/>
      <c r="B480" s="12"/>
      <c r="C480" s="12"/>
      <c r="D480" s="12"/>
      <c r="E480" s="12"/>
    </row>
    <row r="481" spans="1:5">
      <c r="A481" s="12"/>
      <c r="B481" s="12"/>
      <c r="C481" s="12"/>
      <c r="D481" s="12"/>
      <c r="E481" s="12"/>
    </row>
    <row r="482" spans="1:5">
      <c r="A482" s="12"/>
      <c r="B482" s="12"/>
      <c r="C482" s="12"/>
      <c r="D482" s="12"/>
      <c r="E482" s="12"/>
    </row>
    <row r="483" spans="1:5">
      <c r="A483" s="12"/>
      <c r="B483" s="12"/>
      <c r="C483" s="12"/>
      <c r="D483" s="12"/>
      <c r="E483" s="12"/>
    </row>
    <row r="484" spans="1:5">
      <c r="A484" s="12"/>
      <c r="B484" s="12"/>
      <c r="C484" s="12"/>
      <c r="D484" s="12"/>
      <c r="E484" s="12"/>
    </row>
    <row r="485" spans="1:5">
      <c r="A485" s="12"/>
      <c r="B485" s="12"/>
      <c r="C485" s="12"/>
      <c r="D485" s="12"/>
      <c r="E485" s="12"/>
    </row>
    <row r="486" spans="1:5">
      <c r="A486" s="12"/>
      <c r="B486" s="12"/>
      <c r="C486" s="12"/>
      <c r="D486" s="12"/>
      <c r="E486" s="12"/>
    </row>
    <row r="487" spans="1:5">
      <c r="A487" s="12"/>
      <c r="B487" s="12"/>
      <c r="C487" s="12"/>
      <c r="D487" s="12"/>
      <c r="E487" s="12"/>
    </row>
    <row r="488" spans="1:5">
      <c r="A488" s="12"/>
      <c r="B488" s="12"/>
      <c r="C488" s="12"/>
      <c r="D488" s="12"/>
      <c r="E488" s="12"/>
    </row>
    <row r="489" spans="1:5">
      <c r="A489" s="12"/>
      <c r="B489" s="12"/>
      <c r="C489" s="12"/>
      <c r="D489" s="12"/>
      <c r="E489" s="12"/>
    </row>
    <row r="490" spans="1:5">
      <c r="A490" s="12"/>
      <c r="B490" s="12"/>
      <c r="C490" s="12"/>
      <c r="D490" s="12"/>
      <c r="E490" s="12"/>
    </row>
    <row r="491" spans="1:5">
      <c r="A491" s="12"/>
      <c r="B491" s="12"/>
      <c r="C491" s="12"/>
      <c r="D491" s="12"/>
      <c r="E491" s="12"/>
    </row>
    <row r="492" spans="1:5">
      <c r="A492" s="12"/>
      <c r="B492" s="12"/>
      <c r="C492" s="12"/>
      <c r="D492" s="12"/>
      <c r="E492" s="12"/>
    </row>
    <row r="493" spans="1:5">
      <c r="A493" s="12"/>
      <c r="B493" s="12"/>
      <c r="C493" s="12"/>
      <c r="D493" s="12"/>
      <c r="E493" s="12"/>
    </row>
    <row r="494" spans="1:5">
      <c r="A494" s="12"/>
      <c r="B494" s="12"/>
      <c r="C494" s="12"/>
      <c r="D494" s="12"/>
      <c r="E494" s="12"/>
    </row>
    <row r="495" spans="1:5">
      <c r="A495" s="12"/>
      <c r="B495" s="12"/>
      <c r="C495" s="12"/>
      <c r="D495" s="12"/>
      <c r="E495" s="12"/>
    </row>
    <row r="496" spans="1:5">
      <c r="A496" s="12"/>
      <c r="B496" s="12"/>
      <c r="C496" s="12"/>
      <c r="D496" s="12"/>
      <c r="E496" s="12"/>
    </row>
    <row r="497" spans="1:5">
      <c r="A497" s="12"/>
      <c r="B497" s="12"/>
      <c r="C497" s="12"/>
      <c r="D497" s="12"/>
      <c r="E497" s="12"/>
    </row>
    <row r="498" spans="1:5">
      <c r="A498" s="12"/>
      <c r="B498" s="12"/>
      <c r="C498" s="12"/>
      <c r="D498" s="12"/>
      <c r="E498" s="12"/>
    </row>
    <row r="499" spans="1:5">
      <c r="A499" s="12"/>
      <c r="B499" s="12"/>
      <c r="C499" s="12"/>
      <c r="D499" s="12"/>
      <c r="E499" s="12"/>
    </row>
    <row r="500" spans="1:5">
      <c r="A500" s="12"/>
      <c r="B500" s="12"/>
      <c r="C500" s="12"/>
      <c r="D500" s="12"/>
      <c r="E500" s="12"/>
    </row>
    <row r="501" spans="1:5">
      <c r="A501" s="12"/>
      <c r="B501" s="12"/>
      <c r="C501" s="12"/>
      <c r="D501" s="12"/>
      <c r="E501" s="12"/>
    </row>
    <row r="502" spans="1:5">
      <c r="A502" s="12"/>
      <c r="B502" s="12"/>
      <c r="C502" s="12"/>
      <c r="D502" s="12"/>
      <c r="E502" s="12"/>
    </row>
    <row r="503" spans="1:5">
      <c r="A503" s="12"/>
      <c r="B503" s="12"/>
      <c r="C503" s="12"/>
      <c r="D503" s="12"/>
      <c r="E503" s="12"/>
    </row>
    <row r="504" spans="1:5">
      <c r="A504" s="12"/>
      <c r="B504" s="12"/>
      <c r="C504" s="12"/>
      <c r="D504" s="12"/>
      <c r="E504" s="12"/>
    </row>
    <row r="505" spans="1:5">
      <c r="A505" s="12"/>
      <c r="B505" s="12"/>
      <c r="C505" s="12"/>
      <c r="D505" s="12"/>
      <c r="E505" s="12"/>
    </row>
    <row r="506" spans="1:5">
      <c r="A506" s="12"/>
      <c r="B506" s="12"/>
      <c r="C506" s="12"/>
      <c r="D506" s="12"/>
      <c r="E506" s="12"/>
    </row>
    <row r="507" spans="1:5">
      <c r="A507" s="12"/>
      <c r="B507" s="12"/>
      <c r="C507" s="12"/>
      <c r="D507" s="12"/>
      <c r="E507" s="12"/>
    </row>
    <row r="508" spans="1:5">
      <c r="A508" s="12"/>
      <c r="B508" s="12"/>
      <c r="C508" s="12"/>
      <c r="D508" s="12"/>
      <c r="E508" s="12"/>
    </row>
    <row r="509" spans="1:5">
      <c r="A509" s="12"/>
      <c r="B509" s="12"/>
      <c r="C509" s="12"/>
      <c r="D509" s="12"/>
      <c r="E509" s="12"/>
    </row>
    <row r="510" spans="1:5">
      <c r="A510" s="12"/>
      <c r="B510" s="12"/>
      <c r="C510" s="12"/>
      <c r="D510" s="12"/>
      <c r="E510" s="12"/>
    </row>
    <row r="511" spans="1:5">
      <c r="A511" s="12"/>
      <c r="B511" s="12"/>
      <c r="C511" s="12"/>
      <c r="D511" s="12"/>
      <c r="E511" s="12"/>
    </row>
    <row r="512" spans="1:5">
      <c r="A512" s="12"/>
      <c r="B512" s="12"/>
      <c r="C512" s="12"/>
      <c r="D512" s="12"/>
      <c r="E512" s="12"/>
    </row>
    <row r="513" spans="1:5">
      <c r="A513" s="12"/>
      <c r="B513" s="12"/>
      <c r="C513" s="12"/>
      <c r="D513" s="12"/>
      <c r="E513" s="12"/>
    </row>
    <row r="514" spans="1:5">
      <c r="A514" s="12"/>
      <c r="B514" s="12"/>
      <c r="C514" s="12"/>
      <c r="D514" s="12"/>
      <c r="E514" s="12"/>
    </row>
    <row r="515" spans="1:5">
      <c r="A515" s="12"/>
      <c r="B515" s="12"/>
      <c r="C515" s="12"/>
      <c r="D515" s="12"/>
      <c r="E515" s="12"/>
    </row>
    <row r="516" spans="1:5">
      <c r="A516" s="12"/>
      <c r="B516" s="12"/>
      <c r="C516" s="12"/>
      <c r="D516" s="12"/>
      <c r="E516" s="12"/>
    </row>
    <row r="517" spans="1:5">
      <c r="A517" s="12"/>
      <c r="B517" s="12"/>
      <c r="C517" s="12"/>
      <c r="D517" s="12"/>
      <c r="E517" s="12"/>
    </row>
    <row r="518" spans="1:5">
      <c r="A518" s="12"/>
      <c r="B518" s="12"/>
      <c r="C518" s="12"/>
      <c r="D518" s="12"/>
      <c r="E518" s="12"/>
    </row>
    <row r="519" spans="1:5">
      <c r="A519" s="12"/>
      <c r="B519" s="12"/>
      <c r="C519" s="12"/>
      <c r="D519" s="12"/>
      <c r="E519" s="12"/>
    </row>
    <row r="520" spans="1:5">
      <c r="A520" s="12"/>
      <c r="B520" s="12"/>
      <c r="C520" s="12"/>
      <c r="D520" s="12"/>
      <c r="E520" s="12"/>
    </row>
    <row r="521" spans="1:5">
      <c r="A521" s="12"/>
      <c r="B521" s="12"/>
      <c r="C521" s="12"/>
      <c r="D521" s="12"/>
      <c r="E521" s="12"/>
    </row>
    <row r="522" spans="1:5">
      <c r="A522" s="12"/>
      <c r="B522" s="12"/>
      <c r="C522" s="12"/>
      <c r="D522" s="12"/>
      <c r="E522" s="12"/>
    </row>
    <row r="523" spans="1:5">
      <c r="A523" s="12"/>
      <c r="B523" s="12"/>
      <c r="C523" s="12"/>
      <c r="D523" s="12"/>
      <c r="E523" s="12"/>
    </row>
    <row r="524" spans="1:5">
      <c r="A524" s="12"/>
      <c r="B524" s="12"/>
      <c r="C524" s="12"/>
      <c r="D524" s="12"/>
      <c r="E524" s="12"/>
    </row>
    <row r="525" spans="1:5">
      <c r="A525" s="12"/>
      <c r="B525" s="12"/>
      <c r="C525" s="12"/>
      <c r="D525" s="12"/>
      <c r="E525" s="12"/>
    </row>
    <row r="526" spans="1:5">
      <c r="A526" s="12"/>
      <c r="B526" s="12"/>
      <c r="C526" s="12"/>
      <c r="D526" s="12"/>
      <c r="E526" s="12"/>
    </row>
    <row r="527" spans="1:5">
      <c r="A527" s="12"/>
      <c r="B527" s="12"/>
      <c r="C527" s="12"/>
      <c r="D527" s="12"/>
      <c r="E527" s="12"/>
    </row>
    <row r="528" spans="1:5">
      <c r="A528" s="12"/>
      <c r="B528" s="12"/>
      <c r="C528" s="12"/>
      <c r="D528" s="12"/>
      <c r="E528" s="12"/>
    </row>
    <row r="529" spans="1:5">
      <c r="A529" s="12"/>
      <c r="B529" s="12"/>
      <c r="C529" s="12"/>
      <c r="D529" s="12"/>
      <c r="E529" s="12"/>
    </row>
    <row r="530" spans="1:5">
      <c r="A530" s="12"/>
      <c r="B530" s="12"/>
      <c r="C530" s="12"/>
      <c r="D530" s="12"/>
      <c r="E530" s="12"/>
    </row>
    <row r="531" spans="1:5">
      <c r="A531" s="12"/>
      <c r="B531" s="12"/>
      <c r="C531" s="12"/>
      <c r="D531" s="12"/>
      <c r="E531" s="12"/>
    </row>
    <row r="532" spans="1:5">
      <c r="A532" s="12"/>
      <c r="B532" s="12"/>
      <c r="C532" s="12"/>
      <c r="D532" s="12"/>
      <c r="E532" s="12"/>
    </row>
    <row r="533" spans="1:5">
      <c r="A533" s="12"/>
      <c r="B533" s="12"/>
      <c r="C533" s="12"/>
      <c r="D533" s="12"/>
      <c r="E533" s="12"/>
    </row>
    <row r="534" spans="1:5">
      <c r="A534" s="12"/>
      <c r="B534" s="12"/>
      <c r="C534" s="12"/>
      <c r="D534" s="12"/>
      <c r="E534" s="12"/>
    </row>
    <row r="535" spans="1:5">
      <c r="A535" s="12"/>
      <c r="B535" s="12"/>
      <c r="C535" s="12"/>
      <c r="D535" s="12"/>
      <c r="E535" s="12"/>
    </row>
    <row r="536" spans="1:5">
      <c r="A536" s="12"/>
      <c r="B536" s="12"/>
      <c r="C536" s="12"/>
      <c r="D536" s="12"/>
      <c r="E536" s="12"/>
    </row>
    <row r="537" spans="1:5">
      <c r="A537" s="12"/>
      <c r="B537" s="12"/>
      <c r="C537" s="12"/>
      <c r="D537" s="12"/>
      <c r="E537" s="12"/>
    </row>
    <row r="538" spans="1:5">
      <c r="A538" s="12"/>
      <c r="B538" s="12"/>
      <c r="C538" s="12"/>
      <c r="D538" s="12"/>
      <c r="E538" s="12"/>
    </row>
    <row r="539" spans="1:5">
      <c r="A539" s="12"/>
      <c r="B539" s="12"/>
      <c r="C539" s="12"/>
      <c r="D539" s="12"/>
      <c r="E539" s="12"/>
    </row>
    <row r="540" spans="1:5">
      <c r="A540" s="12"/>
      <c r="B540" s="12"/>
      <c r="C540" s="12"/>
      <c r="D540" s="12"/>
      <c r="E540" s="12"/>
    </row>
    <row r="541" spans="1:5">
      <c r="A541" s="12"/>
      <c r="B541" s="12"/>
      <c r="C541" s="12"/>
      <c r="D541" s="12"/>
      <c r="E541" s="12"/>
    </row>
    <row r="542" spans="1:5">
      <c r="A542" s="12"/>
      <c r="B542" s="12"/>
      <c r="C542" s="12"/>
      <c r="D542" s="12"/>
      <c r="E542" s="12"/>
    </row>
    <row r="543" spans="1:5">
      <c r="A543" s="12"/>
      <c r="B543" s="12"/>
      <c r="C543" s="12"/>
      <c r="D543" s="12"/>
      <c r="E543" s="12"/>
    </row>
    <row r="544" spans="1:5">
      <c r="A544" s="12"/>
      <c r="B544" s="12"/>
      <c r="C544" s="12"/>
      <c r="D544" s="12"/>
      <c r="E544" s="12"/>
    </row>
    <row r="545" spans="1:5">
      <c r="A545" s="12"/>
      <c r="B545" s="12"/>
      <c r="C545" s="12"/>
      <c r="D545" s="12"/>
      <c r="E545" s="12"/>
    </row>
    <row r="546" spans="1:5">
      <c r="A546" s="12"/>
      <c r="B546" s="12"/>
      <c r="C546" s="12"/>
      <c r="D546" s="12"/>
      <c r="E546" s="12"/>
    </row>
    <row r="547" spans="1:5">
      <c r="A547" s="12"/>
      <c r="B547" s="12"/>
      <c r="C547" s="12"/>
      <c r="D547" s="12"/>
      <c r="E547" s="12"/>
    </row>
    <row r="548" spans="1:5">
      <c r="A548" s="12"/>
      <c r="B548" s="12"/>
      <c r="C548" s="12"/>
      <c r="D548" s="12"/>
      <c r="E548" s="12"/>
    </row>
    <row r="549" spans="1:5">
      <c r="A549" s="12"/>
      <c r="B549" s="12"/>
      <c r="C549" s="12"/>
      <c r="D549" s="12"/>
      <c r="E549" s="12"/>
    </row>
    <row r="550" spans="1:5">
      <c r="A550" s="12"/>
      <c r="B550" s="12"/>
      <c r="C550" s="12"/>
      <c r="D550" s="12"/>
      <c r="E550" s="12"/>
    </row>
    <row r="551" spans="1:5">
      <c r="A551" s="12"/>
      <c r="B551" s="12"/>
      <c r="C551" s="12"/>
      <c r="D551" s="12"/>
      <c r="E551" s="12"/>
    </row>
    <row r="552" spans="1:5">
      <c r="A552" s="12"/>
      <c r="B552" s="12"/>
      <c r="C552" s="12"/>
      <c r="D552" s="12"/>
      <c r="E552" s="12"/>
    </row>
    <row r="553" spans="1:5">
      <c r="A553" s="12"/>
      <c r="B553" s="12"/>
      <c r="C553" s="12"/>
      <c r="D553" s="12"/>
      <c r="E553" s="12"/>
    </row>
    <row r="554" spans="1:5">
      <c r="A554" s="12"/>
      <c r="B554" s="12"/>
      <c r="C554" s="12"/>
      <c r="D554" s="12"/>
      <c r="E554" s="12"/>
    </row>
    <row r="555" spans="1:5">
      <c r="A555" s="12"/>
      <c r="B555" s="12"/>
      <c r="C555" s="12"/>
      <c r="D555" s="12"/>
      <c r="E555" s="12"/>
    </row>
    <row r="556" spans="1:5">
      <c r="A556" s="12"/>
      <c r="B556" s="12"/>
      <c r="C556" s="12"/>
      <c r="D556" s="12"/>
      <c r="E556" s="12"/>
    </row>
    <row r="557" spans="1:5">
      <c r="A557" s="12"/>
      <c r="B557" s="12"/>
      <c r="C557" s="12"/>
      <c r="D557" s="12"/>
      <c r="E557" s="12"/>
    </row>
    <row r="558" spans="1:5">
      <c r="A558" s="12"/>
      <c r="B558" s="12"/>
      <c r="C558" s="12"/>
      <c r="D558" s="12"/>
      <c r="E558" s="12"/>
    </row>
    <row r="559" spans="1:5">
      <c r="A559" s="12"/>
      <c r="B559" s="12"/>
      <c r="C559" s="12"/>
      <c r="D559" s="12"/>
      <c r="E559" s="12"/>
    </row>
    <row r="560" spans="1:5">
      <c r="A560" s="12"/>
      <c r="B560" s="12"/>
      <c r="C560" s="12"/>
      <c r="D560" s="12"/>
      <c r="E560" s="12"/>
    </row>
    <row r="561" spans="1:5">
      <c r="A561" s="12"/>
      <c r="B561" s="12"/>
      <c r="C561" s="12"/>
      <c r="D561" s="12"/>
      <c r="E561" s="12"/>
    </row>
  </sheetData>
  <mergeCells count="5">
    <mergeCell ref="B2:D2"/>
    <mergeCell ref="B4:D4"/>
    <mergeCell ref="B6:C6"/>
    <mergeCell ref="B8:D8"/>
    <mergeCell ref="B1:D1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ListasInstructivo!$A$8:$A$11</xm:f>
          </x14:formula1>
          <xm:sqref>D6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1"/>
  <sheetViews>
    <sheetView topLeftCell="T4" zoomScale="87" zoomScaleNormal="87" workbookViewId="0">
      <selection activeCell="AA5" sqref="AA5"/>
    </sheetView>
  </sheetViews>
  <sheetFormatPr baseColWidth="10" defaultColWidth="11.44140625" defaultRowHeight="14.4"/>
  <cols>
    <col min="1" max="1" width="29.33203125" bestFit="1" customWidth="1"/>
    <col min="2" max="2" width="8.5546875" bestFit="1" customWidth="1"/>
    <col min="3" max="23" width="29.33203125" customWidth="1"/>
    <col min="24" max="27" width="21.5546875" style="29" customWidth="1"/>
  </cols>
  <sheetData>
    <row r="1" spans="1:27" s="29" customFormat="1">
      <c r="A1" s="29" t="s">
        <v>88</v>
      </c>
      <c r="B1" s="29" t="s">
        <v>89</v>
      </c>
      <c r="C1" s="29" t="s">
        <v>90</v>
      </c>
      <c r="D1" s="29" t="s">
        <v>91</v>
      </c>
      <c r="E1" s="29" t="s">
        <v>92</v>
      </c>
      <c r="F1" s="29" t="s">
        <v>93</v>
      </c>
      <c r="G1" s="29" t="s">
        <v>94</v>
      </c>
      <c r="H1" s="29" t="s">
        <v>95</v>
      </c>
      <c r="I1" s="29" t="s">
        <v>96</v>
      </c>
      <c r="J1" s="29" t="s">
        <v>97</v>
      </c>
      <c r="K1" s="29" t="s">
        <v>98</v>
      </c>
      <c r="L1" s="29" t="s">
        <v>99</v>
      </c>
      <c r="M1" s="29" t="s">
        <v>100</v>
      </c>
      <c r="N1" s="29" t="s">
        <v>101</v>
      </c>
      <c r="O1" s="29" t="s">
        <v>102</v>
      </c>
      <c r="P1" s="29" t="s">
        <v>103</v>
      </c>
      <c r="Q1" s="29" t="s">
        <v>104</v>
      </c>
      <c r="R1" s="29" t="s">
        <v>105</v>
      </c>
      <c r="S1" s="29" t="s">
        <v>106</v>
      </c>
      <c r="T1" s="29" t="s">
        <v>107</v>
      </c>
      <c r="U1" s="29" t="s">
        <v>108</v>
      </c>
      <c r="V1" s="29" t="s">
        <v>109</v>
      </c>
      <c r="W1" s="29" t="s">
        <v>110</v>
      </c>
      <c r="X1" s="29" t="s">
        <v>111</v>
      </c>
      <c r="Y1" s="29" t="s">
        <v>112</v>
      </c>
      <c r="Z1" s="29" t="s">
        <v>113</v>
      </c>
      <c r="AA1" s="29" t="s">
        <v>114</v>
      </c>
    </row>
    <row r="2" spans="1:27" s="35" customFormat="1" ht="90" customHeight="1">
      <c r="A2" s="15" t="s">
        <v>86</v>
      </c>
      <c r="B2" s="36" t="s">
        <v>2</v>
      </c>
      <c r="C2" s="37" t="s">
        <v>115</v>
      </c>
      <c r="D2" s="37" t="s">
        <v>3</v>
      </c>
      <c r="E2" s="37" t="s">
        <v>4</v>
      </c>
      <c r="F2" s="37" t="s">
        <v>5</v>
      </c>
      <c r="G2" s="37" t="s">
        <v>6</v>
      </c>
      <c r="H2" s="37" t="s">
        <v>7</v>
      </c>
      <c r="I2" s="37" t="s">
        <v>8</v>
      </c>
      <c r="J2" s="37" t="s">
        <v>9</v>
      </c>
      <c r="K2" s="38" t="s">
        <v>10</v>
      </c>
      <c r="L2" s="37" t="s">
        <v>11</v>
      </c>
      <c r="M2" s="37" t="s">
        <v>116</v>
      </c>
      <c r="N2" s="37" t="s">
        <v>116</v>
      </c>
      <c r="O2" s="50" t="s">
        <v>117</v>
      </c>
      <c r="P2" s="50" t="s">
        <v>118</v>
      </c>
      <c r="Q2" s="39" t="s">
        <v>119</v>
      </c>
      <c r="R2" s="50" t="s">
        <v>120</v>
      </c>
      <c r="S2" s="50" t="s">
        <v>121</v>
      </c>
      <c r="T2" s="50" t="s">
        <v>122</v>
      </c>
      <c r="U2" s="50" t="s">
        <v>123</v>
      </c>
      <c r="V2" s="50" t="s">
        <v>244</v>
      </c>
      <c r="W2" s="50" t="s">
        <v>124</v>
      </c>
      <c r="X2" s="50" t="s">
        <v>125</v>
      </c>
      <c r="Y2" s="50" t="s">
        <v>126</v>
      </c>
      <c r="Z2" s="39" t="s">
        <v>116</v>
      </c>
      <c r="AA2" s="39" t="s">
        <v>116</v>
      </c>
    </row>
    <row r="3" spans="1:27" s="16" customFormat="1" ht="90" customHeight="1">
      <c r="A3" s="34" t="s">
        <v>127</v>
      </c>
      <c r="B3" s="36" t="s">
        <v>2</v>
      </c>
      <c r="C3" s="37" t="s">
        <v>128</v>
      </c>
      <c r="D3" s="37" t="s">
        <v>129</v>
      </c>
      <c r="E3" s="37" t="s">
        <v>130</v>
      </c>
      <c r="F3" s="37" t="s">
        <v>131</v>
      </c>
      <c r="G3" s="37" t="s">
        <v>18</v>
      </c>
      <c r="H3" s="37" t="s">
        <v>19</v>
      </c>
      <c r="I3" s="37" t="s">
        <v>20</v>
      </c>
      <c r="J3" s="37" t="s">
        <v>21</v>
      </c>
      <c r="K3" s="37" t="s">
        <v>116</v>
      </c>
      <c r="L3" s="37" t="s">
        <v>116</v>
      </c>
      <c r="M3" s="37" t="s">
        <v>116</v>
      </c>
      <c r="N3" s="37" t="s">
        <v>116</v>
      </c>
      <c r="O3" s="50" t="s">
        <v>117</v>
      </c>
      <c r="P3" s="50" t="s">
        <v>119</v>
      </c>
      <c r="Q3" s="51" t="s">
        <v>250</v>
      </c>
      <c r="R3" s="50" t="s">
        <v>246</v>
      </c>
      <c r="S3" s="50" t="s">
        <v>132</v>
      </c>
      <c r="T3" s="50" t="s">
        <v>119</v>
      </c>
      <c r="U3" s="50" t="s">
        <v>133</v>
      </c>
      <c r="V3" s="50" t="s">
        <v>134</v>
      </c>
      <c r="W3" s="50" t="s">
        <v>135</v>
      </c>
      <c r="X3" s="50" t="s">
        <v>116</v>
      </c>
      <c r="Y3" s="40" t="s">
        <v>116</v>
      </c>
      <c r="Z3" s="52" t="s">
        <v>116</v>
      </c>
      <c r="AA3" s="40" t="s">
        <v>116</v>
      </c>
    </row>
    <row r="4" spans="1:27" s="16" customFormat="1" ht="129.75" customHeight="1">
      <c r="A4" s="34" t="s">
        <v>136</v>
      </c>
      <c r="B4" s="36" t="s">
        <v>2</v>
      </c>
      <c r="C4" s="37" t="s">
        <v>16</v>
      </c>
      <c r="D4" s="37" t="s">
        <v>22</v>
      </c>
      <c r="E4" s="37" t="s">
        <v>23</v>
      </c>
      <c r="F4" s="37" t="s">
        <v>19</v>
      </c>
      <c r="G4" s="37" t="s">
        <v>20</v>
      </c>
      <c r="H4" s="37" t="s">
        <v>21</v>
      </c>
      <c r="I4" s="37" t="s">
        <v>116</v>
      </c>
      <c r="J4" s="37" t="s">
        <v>116</v>
      </c>
      <c r="K4" s="37" t="s">
        <v>116</v>
      </c>
      <c r="L4" s="37" t="s">
        <v>116</v>
      </c>
      <c r="M4" s="37" t="s">
        <v>116</v>
      </c>
      <c r="N4" s="37" t="s">
        <v>116</v>
      </c>
      <c r="O4" s="53" t="s">
        <v>117</v>
      </c>
      <c r="P4" s="50" t="s">
        <v>254</v>
      </c>
      <c r="Q4" s="50" t="s">
        <v>137</v>
      </c>
      <c r="R4" s="50" t="s">
        <v>138</v>
      </c>
      <c r="S4" s="50" t="s">
        <v>139</v>
      </c>
      <c r="T4" s="50" t="s">
        <v>140</v>
      </c>
      <c r="U4" s="50" t="s">
        <v>123</v>
      </c>
      <c r="V4" s="50" t="s">
        <v>116</v>
      </c>
      <c r="W4" s="50" t="s">
        <v>116</v>
      </c>
      <c r="X4" s="50" t="s">
        <v>116</v>
      </c>
      <c r="Y4" s="51" t="s">
        <v>116</v>
      </c>
      <c r="Z4" s="51" t="s">
        <v>116</v>
      </c>
      <c r="AA4" s="40" t="s">
        <v>116</v>
      </c>
    </row>
    <row r="5" spans="1:27" s="43" customFormat="1" ht="159.75" customHeight="1">
      <c r="A5" s="15" t="s">
        <v>141</v>
      </c>
      <c r="B5" s="42" t="s">
        <v>2</v>
      </c>
      <c r="C5" s="54" t="s">
        <v>27</v>
      </c>
      <c r="D5" s="54" t="s">
        <v>142</v>
      </c>
      <c r="E5" s="54" t="s">
        <v>29</v>
      </c>
      <c r="F5" s="54" t="s">
        <v>30</v>
      </c>
      <c r="G5" s="54" t="s">
        <v>31</v>
      </c>
      <c r="H5" s="54" t="s">
        <v>32</v>
      </c>
      <c r="I5" s="54" t="s">
        <v>33</v>
      </c>
      <c r="J5" s="54" t="s">
        <v>34</v>
      </c>
      <c r="K5" s="54" t="s">
        <v>35</v>
      </c>
      <c r="L5" s="54" t="s">
        <v>36</v>
      </c>
      <c r="M5" s="54" t="s">
        <v>37</v>
      </c>
      <c r="N5" s="54" t="s">
        <v>21</v>
      </c>
      <c r="O5" s="55" t="s">
        <v>117</v>
      </c>
      <c r="P5" s="55" t="s">
        <v>143</v>
      </c>
      <c r="Q5" s="55" t="s">
        <v>144</v>
      </c>
      <c r="R5" s="55" t="s">
        <v>251</v>
      </c>
      <c r="S5" s="55" t="s">
        <v>137</v>
      </c>
      <c r="T5" s="55" t="s">
        <v>145</v>
      </c>
      <c r="U5" s="55" t="s">
        <v>146</v>
      </c>
      <c r="V5" s="55" t="s">
        <v>252</v>
      </c>
      <c r="W5" s="55" t="s">
        <v>147</v>
      </c>
      <c r="X5" s="55" t="s">
        <v>148</v>
      </c>
      <c r="Y5" s="55" t="s">
        <v>247</v>
      </c>
      <c r="Z5" s="55" t="s">
        <v>248</v>
      </c>
      <c r="AA5" s="56" t="s">
        <v>123</v>
      </c>
    </row>
    <row r="6" spans="1:27">
      <c r="B6" s="30"/>
      <c r="C6" s="30"/>
      <c r="D6" s="30"/>
      <c r="E6" s="31"/>
      <c r="F6" s="31"/>
      <c r="G6" s="32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</row>
    <row r="7" spans="1:27">
      <c r="A7" t="s">
        <v>149</v>
      </c>
    </row>
    <row r="8" spans="1:27">
      <c r="A8" t="s">
        <v>86</v>
      </c>
    </row>
    <row r="9" spans="1:27">
      <c r="A9" t="s">
        <v>127</v>
      </c>
    </row>
    <row r="10" spans="1:27">
      <c r="A10" t="s">
        <v>136</v>
      </c>
    </row>
    <row r="11" spans="1:27">
      <c r="A11" t="s">
        <v>141</v>
      </c>
    </row>
  </sheetData>
  <phoneticPr fontId="3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8"/>
  <sheetViews>
    <sheetView zoomScale="75" zoomScaleNormal="75" workbookViewId="0">
      <selection activeCell="C8" sqref="C8"/>
    </sheetView>
  </sheetViews>
  <sheetFormatPr baseColWidth="10" defaultColWidth="11.44140625" defaultRowHeight="14.4"/>
  <cols>
    <col min="1" max="1" width="32.33203125" bestFit="1" customWidth="1"/>
    <col min="2" max="2" width="25" customWidth="1"/>
    <col min="3" max="3" width="69.6640625" style="16" customWidth="1"/>
    <col min="4" max="4" width="71.44140625" customWidth="1"/>
    <col min="5" max="5" width="31.6640625" bestFit="1" customWidth="1"/>
  </cols>
  <sheetData>
    <row r="1" spans="1:5">
      <c r="A1" s="67" t="s">
        <v>150</v>
      </c>
      <c r="B1" s="67" t="s">
        <v>151</v>
      </c>
      <c r="C1" s="67" t="s">
        <v>30</v>
      </c>
      <c r="D1" s="67" t="s">
        <v>152</v>
      </c>
      <c r="E1" s="67" t="s">
        <v>153</v>
      </c>
    </row>
    <row r="2" spans="1:5">
      <c r="A2" s="4" t="s">
        <v>12</v>
      </c>
      <c r="B2" s="3"/>
      <c r="C2" s="17" t="s">
        <v>12</v>
      </c>
      <c r="D2" s="2"/>
      <c r="E2" s="4"/>
    </row>
    <row r="3" spans="1:5" ht="69">
      <c r="A3" s="4" t="s">
        <v>154</v>
      </c>
      <c r="B3" s="3" t="s">
        <v>155</v>
      </c>
      <c r="C3" s="17" t="s">
        <v>156</v>
      </c>
      <c r="D3" s="2" t="s">
        <v>157</v>
      </c>
      <c r="E3" s="4" t="s">
        <v>158</v>
      </c>
    </row>
    <row r="4" spans="1:5" ht="55.2">
      <c r="A4" s="4" t="s">
        <v>159</v>
      </c>
      <c r="B4" s="3" t="s">
        <v>160</v>
      </c>
      <c r="C4" s="17" t="s">
        <v>161</v>
      </c>
      <c r="D4" s="2" t="s">
        <v>162</v>
      </c>
      <c r="E4" s="4" t="s">
        <v>163</v>
      </c>
    </row>
    <row r="5" spans="1:5" ht="41.4">
      <c r="A5" s="4" t="s">
        <v>164</v>
      </c>
      <c r="B5" s="3" t="s">
        <v>165</v>
      </c>
      <c r="C5" s="17" t="s">
        <v>166</v>
      </c>
      <c r="D5" s="2" t="s">
        <v>167</v>
      </c>
      <c r="E5" s="4" t="s">
        <v>164</v>
      </c>
    </row>
    <row r="6" spans="1:5" ht="41.4">
      <c r="A6" s="4" t="s">
        <v>168</v>
      </c>
      <c r="B6" s="3" t="s">
        <v>169</v>
      </c>
      <c r="C6" s="17" t="s">
        <v>170</v>
      </c>
      <c r="D6" s="2" t="s">
        <v>171</v>
      </c>
      <c r="E6" s="4" t="s">
        <v>168</v>
      </c>
    </row>
    <row r="7" spans="1:5" ht="27.6">
      <c r="A7" s="4" t="s">
        <v>172</v>
      </c>
      <c r="B7" s="3" t="s">
        <v>173</v>
      </c>
      <c r="C7" s="17" t="s">
        <v>174</v>
      </c>
      <c r="D7" s="2" t="s">
        <v>175</v>
      </c>
      <c r="E7" s="4" t="s">
        <v>172</v>
      </c>
    </row>
    <row r="8" spans="1:5" ht="41.4">
      <c r="A8" s="4" t="s">
        <v>176</v>
      </c>
      <c r="B8" s="3" t="s">
        <v>177</v>
      </c>
      <c r="C8" s="17" t="s">
        <v>178</v>
      </c>
      <c r="D8" s="2" t="s">
        <v>179</v>
      </c>
      <c r="E8" s="4" t="s">
        <v>176</v>
      </c>
    </row>
    <row r="9" spans="1:5" ht="27.6">
      <c r="A9" s="4" t="s">
        <v>180</v>
      </c>
      <c r="B9" s="3" t="s">
        <v>181</v>
      </c>
      <c r="C9" s="17" t="s">
        <v>182</v>
      </c>
      <c r="D9" s="2" t="s">
        <v>183</v>
      </c>
      <c r="E9" s="4" t="s">
        <v>180</v>
      </c>
    </row>
    <row r="10" spans="1:5" ht="41.4">
      <c r="A10" s="4" t="s">
        <v>184</v>
      </c>
      <c r="B10" s="3" t="s">
        <v>185</v>
      </c>
      <c r="C10" s="17" t="s">
        <v>186</v>
      </c>
      <c r="D10" s="2" t="s">
        <v>187</v>
      </c>
      <c r="E10" s="4" t="s">
        <v>184</v>
      </c>
    </row>
    <row r="11" spans="1:5">
      <c r="A11" s="4" t="s">
        <v>188</v>
      </c>
      <c r="B11" s="3" t="s">
        <v>189</v>
      </c>
      <c r="C11" s="17" t="s">
        <v>190</v>
      </c>
      <c r="D11" s="2" t="s">
        <v>191</v>
      </c>
      <c r="E11" s="4" t="s">
        <v>188</v>
      </c>
    </row>
    <row r="12" spans="1:5" ht="41.4">
      <c r="A12" s="4" t="s">
        <v>192</v>
      </c>
      <c r="B12" s="3" t="s">
        <v>97</v>
      </c>
      <c r="C12" s="17" t="s">
        <v>193</v>
      </c>
      <c r="D12" s="2" t="s">
        <v>194</v>
      </c>
      <c r="E12" s="4" t="s">
        <v>192</v>
      </c>
    </row>
    <row r="13" spans="1:5" ht="27.6">
      <c r="A13" s="4" t="s">
        <v>195</v>
      </c>
      <c r="B13" s="3" t="s">
        <v>98</v>
      </c>
      <c r="C13" s="17" t="s">
        <v>196</v>
      </c>
      <c r="D13" s="2" t="s">
        <v>197</v>
      </c>
      <c r="E13" s="4" t="s">
        <v>195</v>
      </c>
    </row>
    <row r="14" spans="1:5">
      <c r="A14" s="4" t="s">
        <v>198</v>
      </c>
      <c r="B14" s="3" t="s">
        <v>99</v>
      </c>
      <c r="C14" s="17" t="s">
        <v>199</v>
      </c>
      <c r="D14" s="2" t="s">
        <v>200</v>
      </c>
      <c r="E14" s="4" t="s">
        <v>198</v>
      </c>
    </row>
    <row r="15" spans="1:5" ht="69">
      <c r="A15" s="4" t="s">
        <v>201</v>
      </c>
      <c r="B15" s="3" t="s">
        <v>100</v>
      </c>
      <c r="C15" s="17" t="s">
        <v>202</v>
      </c>
      <c r="D15" s="2" t="s">
        <v>203</v>
      </c>
      <c r="E15" s="4" t="s">
        <v>201</v>
      </c>
    </row>
    <row r="16" spans="1:5" ht="41.4">
      <c r="A16" s="4" t="s">
        <v>204</v>
      </c>
      <c r="B16" s="3" t="s">
        <v>101</v>
      </c>
      <c r="C16" s="17" t="s">
        <v>205</v>
      </c>
      <c r="D16" s="2" t="s">
        <v>206</v>
      </c>
      <c r="E16" s="4" t="s">
        <v>204</v>
      </c>
    </row>
    <row r="17" spans="1:5" ht="27.6">
      <c r="A17" s="4" t="s">
        <v>207</v>
      </c>
      <c r="B17" s="3" t="s">
        <v>102</v>
      </c>
      <c r="C17" s="17" t="s">
        <v>208</v>
      </c>
      <c r="D17" s="2" t="s">
        <v>209</v>
      </c>
      <c r="E17" s="4" t="s">
        <v>207</v>
      </c>
    </row>
    <row r="18" spans="1:5" ht="27.6">
      <c r="A18" s="4" t="s">
        <v>210</v>
      </c>
      <c r="B18" s="3" t="s">
        <v>103</v>
      </c>
      <c r="C18" s="17" t="s">
        <v>211</v>
      </c>
      <c r="D18" s="2" t="s">
        <v>212</v>
      </c>
      <c r="E18" s="4" t="s">
        <v>210</v>
      </c>
    </row>
    <row r="19" spans="1:5" ht="41.4">
      <c r="A19" s="4" t="s">
        <v>213</v>
      </c>
      <c r="B19" s="3" t="s">
        <v>104</v>
      </c>
      <c r="C19" s="17" t="s">
        <v>214</v>
      </c>
      <c r="D19" s="2" t="s">
        <v>215</v>
      </c>
      <c r="E19" s="4" t="s">
        <v>213</v>
      </c>
    </row>
    <row r="20" spans="1:5" ht="27.6">
      <c r="A20" s="4" t="s">
        <v>216</v>
      </c>
      <c r="B20" s="3" t="s">
        <v>105</v>
      </c>
      <c r="C20" s="17" t="s">
        <v>217</v>
      </c>
      <c r="D20" s="2" t="s">
        <v>218</v>
      </c>
      <c r="E20" s="4" t="s">
        <v>216</v>
      </c>
    </row>
    <row r="21" spans="1:5" ht="41.4">
      <c r="A21" s="4" t="s">
        <v>219</v>
      </c>
      <c r="B21" s="3" t="s">
        <v>106</v>
      </c>
      <c r="C21" s="17" t="s">
        <v>220</v>
      </c>
      <c r="D21" s="2" t="s">
        <v>221</v>
      </c>
      <c r="E21" s="4" t="s">
        <v>219</v>
      </c>
    </row>
    <row r="22" spans="1:5" ht="41.4">
      <c r="A22" s="4" t="s">
        <v>222</v>
      </c>
      <c r="B22" s="3" t="s">
        <v>107</v>
      </c>
      <c r="C22" s="17" t="s">
        <v>223</v>
      </c>
      <c r="D22" s="2" t="s">
        <v>224</v>
      </c>
      <c r="E22" s="4" t="s">
        <v>222</v>
      </c>
    </row>
    <row r="23" spans="1:5" ht="27.6">
      <c r="A23" s="4" t="s">
        <v>225</v>
      </c>
      <c r="B23" s="3" t="s">
        <v>108</v>
      </c>
      <c r="C23" s="17" t="s">
        <v>226</v>
      </c>
      <c r="D23" s="2" t="s">
        <v>227</v>
      </c>
      <c r="E23" s="4" t="s">
        <v>225</v>
      </c>
    </row>
    <row r="24" spans="1:5" ht="55.2">
      <c r="A24" s="4" t="s">
        <v>228</v>
      </c>
      <c r="B24" s="3" t="s">
        <v>109</v>
      </c>
      <c r="C24" s="17" t="s">
        <v>229</v>
      </c>
      <c r="D24" s="2" t="s">
        <v>230</v>
      </c>
      <c r="E24" s="4" t="s">
        <v>228</v>
      </c>
    </row>
    <row r="25" spans="1:5" ht="41.4">
      <c r="A25" s="4" t="s">
        <v>231</v>
      </c>
      <c r="B25" s="3" t="s">
        <v>110</v>
      </c>
      <c r="C25" s="17" t="s">
        <v>232</v>
      </c>
      <c r="D25" s="2" t="s">
        <v>233</v>
      </c>
      <c r="E25" s="4" t="s">
        <v>231</v>
      </c>
    </row>
    <row r="26" spans="1:5" ht="55.2">
      <c r="A26" s="4" t="s">
        <v>234</v>
      </c>
      <c r="B26" s="3" t="s">
        <v>111</v>
      </c>
      <c r="C26" s="17" t="s">
        <v>235</v>
      </c>
      <c r="D26" s="2" t="s">
        <v>236</v>
      </c>
      <c r="E26" s="4" t="s">
        <v>234</v>
      </c>
    </row>
    <row r="27" spans="1:5" ht="41.4">
      <c r="A27" s="4" t="s">
        <v>237</v>
      </c>
      <c r="B27" s="3" t="s">
        <v>112</v>
      </c>
      <c r="C27" s="17" t="s">
        <v>238</v>
      </c>
      <c r="D27" s="2" t="s">
        <v>239</v>
      </c>
      <c r="E27" s="4" t="s">
        <v>237</v>
      </c>
    </row>
    <row r="28" spans="1:5" ht="82.8">
      <c r="A28" s="4" t="s">
        <v>240</v>
      </c>
      <c r="B28" s="3" t="s">
        <v>113</v>
      </c>
      <c r="C28" s="17" t="s">
        <v>241</v>
      </c>
      <c r="D28" s="2" t="s">
        <v>242</v>
      </c>
      <c r="E28" s="4" t="s">
        <v>240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1548B8822E2844A803AA123A4E46C2" ma:contentTypeVersion="16" ma:contentTypeDescription="Crear nuevo documento." ma:contentTypeScope="" ma:versionID="9e4dc23d152e21cbda58153978d2d31e">
  <xsd:schema xmlns:xsd="http://www.w3.org/2001/XMLSchema" xmlns:xs="http://www.w3.org/2001/XMLSchema" xmlns:p="http://schemas.microsoft.com/office/2006/metadata/properties" xmlns:ns2="2ddcba6f-7658-480b-b418-1bf7480ba472" xmlns:ns3="13be0614-0576-4f1a-8a0b-940ce8577412" targetNamespace="http://schemas.microsoft.com/office/2006/metadata/properties" ma:root="true" ma:fieldsID="c496e2b074fd5ec2e6592347eac201d7" ns2:_="" ns3:_="">
    <xsd:import namespace="2ddcba6f-7658-480b-b418-1bf7480ba472"/>
    <xsd:import namespace="13be0614-0576-4f1a-8a0b-940ce85774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dcba6f-7658-480b-b418-1bf7480ba4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e9b71db2-0453-481c-a7bb-ff6902fea5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be0614-0576-4f1a-8a0b-940ce857741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5d77e37-bbca-4651-9785-6914f8d14775}" ma:internalName="TaxCatchAll" ma:showField="CatchAllData" ma:web="13be0614-0576-4f1a-8a0b-940ce85774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be0614-0576-4f1a-8a0b-940ce8577412" xsi:nil="true"/>
    <lcf76f155ced4ddcb4097134ff3c332f xmlns="2ddcba6f-7658-480b-b418-1bf7480ba4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7B837D-A7F9-463C-AF1C-7CDA0FD104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dcba6f-7658-480b-b418-1bf7480ba472"/>
    <ds:schemaRef ds:uri="13be0614-0576-4f1a-8a0b-940ce85774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09BB7F-778B-4B88-B69C-A952B256BE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8BF408-D20C-477C-BDED-F597C256AE03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2ddcba6f-7658-480b-b418-1bf7480ba472"/>
    <ds:schemaRef ds:uri="13be0614-0576-4f1a-8a0b-940ce8577412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FSolicitud_GDB</vt:lpstr>
      <vt:lpstr>FSolicitud_Dato_Abierto</vt:lpstr>
      <vt:lpstr>FSolicitud_Servicio_Mapa</vt:lpstr>
      <vt:lpstr>xx_Listas</vt:lpstr>
      <vt:lpstr>Instructivo</vt:lpstr>
      <vt:lpstr>ListasInstructivo</vt:lpstr>
      <vt:lpstr>Categorias_MinTic</vt:lpstr>
      <vt:lpstr>FSolicitud_Dato_Abierto!Área_de_impresión</vt:lpstr>
      <vt:lpstr>FSolicitud_GDB!Área_de_impresión</vt:lpstr>
      <vt:lpstr>FSolicitud_Servicio_Mapa!Área_de_impresión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LINA JIMÉNEZ</dc:creator>
  <cp:keywords/>
  <dc:description/>
  <cp:lastModifiedBy>Maria Jose Lopez Giraldo</cp:lastModifiedBy>
  <cp:revision/>
  <cp:lastPrinted>2025-09-24T17:02:35Z</cp:lastPrinted>
  <dcterms:created xsi:type="dcterms:W3CDTF">2021-03-13T19:05:45Z</dcterms:created>
  <dcterms:modified xsi:type="dcterms:W3CDTF">2025-09-29T19:57:46Z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0x0101009B1548B8822E2844A803AA123A4E46C2</vt:lpwstr>
  </property>
  <property fmtid="{D5CDD505-2E9C-101B-9397-08002B2CF9AE}" pid="3" name="MediaServiceImageTags">
    <vt:lpwstr/>
  </property>
</Properties>
</file>